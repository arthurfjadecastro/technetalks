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omunicação" sheetId="2" state="visible" r:id="rId2"/>
    <sheet xmlns:r="http://schemas.openxmlformats.org/officeDocument/2006/relationships" name="Roteiro" sheetId="3" state="visible" r:id="rId3"/>
    <sheet xmlns:r="http://schemas.openxmlformats.org/officeDocument/2006/relationships" name="Orçamento" sheetId="4" state="visible" r:id="rId4"/>
    <sheet xmlns:r="http://schemas.openxmlformats.org/officeDocument/2006/relationships" name="Cardápio" sheetId="5" state="visible" r:id="rId5"/>
  </sheets>
  <definedNames>
    <definedName name="_xlnm._FilterDatabase" localSheetId="0" hidden="1">'Checklist'!$A$4:$G$44</definedName>
    <definedName name="_xlnm._FilterDatabase" localSheetId="1" hidden="1">'Comunicação'!$A$4:$I$42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555555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sz val="14"/>
    </font>
    <font>
      <name val="Calibri"/>
      <i val="1"/>
      <color rgb="FF555555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20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dxfs count="8">
    <dxf>
      <fill>
        <patternFill patternType="solid">
          <fgColor rgb="FFDDEBF7"/>
        </patternFill>
      </fill>
    </dxf>
    <dxf>
      <font>
        <b val="1"/>
        <color rgb="FFC00000"/>
      </font>
    </dxf>
    <dxf>
      <font>
        <color rgb="FF999999"/>
      </font>
    </dxf>
    <dxf>
      <fill>
        <patternFill patternType="solid">
          <fgColor rgb="FFD9EAD3"/>
        </patternFill>
      </fill>
    </dxf>
    <dxf>
      <fill>
        <patternFill patternType="solid">
          <fgColor rgb="FFDDEBF7"/>
        </patternFill>
      </fill>
    </dxf>
    <dxf>
      <font>
        <b val="1"/>
        <color rgb="FFC00000"/>
      </font>
    </dxf>
    <dxf>
      <font>
        <color rgb="FF999999"/>
      </font>
    </dxf>
    <dxf>
      <fill>
        <patternFill patternType="solid">
          <fgColor rgb="FF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tabSelected="1" workbookViewId="0">
      <pane ySplit="4" topLeftCell="A18" activePane="bottomLeft" state="frozen"/>
      <selection pane="bottomLeft" activeCell="C10" sqref="C10"/>
    </sheetView>
  </sheetViews>
  <sheetFormatPr baseColWidth="8" defaultRowHeight="15"/>
  <cols>
    <col width="7.42578125" customWidth="1" min="1" max="1"/>
    <col width="12.140625" bestFit="1" customWidth="1" min="2" max="2"/>
    <col width="59.28515625" bestFit="1" customWidth="1" min="3" max="3"/>
    <col width="18.5703125" bestFit="1" customWidth="1" min="4" max="4"/>
    <col width="10.7109375" bestFit="1" customWidth="1" min="5" max="5"/>
    <col width="21" bestFit="1" customWidth="1" min="6" max="6"/>
    <col width="49.85546875" bestFit="1" customWidth="1" min="7" max="7"/>
  </cols>
  <sheetData>
    <row r="1" ht="18.75" customHeight="1">
      <c r="A1" s="1" t="inlineStr">
        <is>
          <t>TECHNE Talks · Encontro nº 02 — checklist</t>
        </is>
      </c>
    </row>
    <row r="2">
      <c r="A2" s="2" t="inlineStr">
        <is>
          <t>Sábado, 17/10/2026 · chegada 10h30, início 11h, fim 17h · Gama/DF · 11 a 20 pessoas no total · inscrições até 12/10 · previsão R$ 500</t>
        </is>
      </c>
    </row>
    <row r="3">
      <c r="A3" t="inlineStr">
        <is>
          <t>Amarelo: preencher. Azul: aguardando aprovação. Prazo vencido sem 'Feito' fica vermelho. As mensagens e as peças de divulgação ficam na aba Comunicação.</t>
        </is>
      </c>
    </row>
    <row r="4">
      <c r="A4" s="3" t="inlineStr">
        <is>
          <t>Nº</t>
        </is>
      </c>
      <c r="B4" s="3" t="inlineStr">
        <is>
          <t>Frente</t>
        </is>
      </c>
      <c r="C4" s="3" t="inlineStr">
        <is>
          <t>Tarefa</t>
        </is>
      </c>
      <c r="D4" s="3" t="inlineStr">
        <is>
          <t>Responsável</t>
        </is>
      </c>
      <c r="E4" s="3" t="inlineStr">
        <is>
          <t>Prazo</t>
        </is>
      </c>
      <c r="F4" s="3" t="inlineStr">
        <is>
          <t>Status</t>
        </is>
      </c>
      <c r="G4" s="3" t="inlineStr">
        <is>
          <t>Observação</t>
        </is>
      </c>
    </row>
    <row r="5">
      <c r="A5" s="4" t="n">
        <v>6</v>
      </c>
      <c r="B5" s="4" t="inlineStr">
        <is>
          <t>Palestras</t>
        </is>
      </c>
      <c r="C5" s="4" t="inlineStr">
        <is>
          <t>Enviar o questionário aos dois palestrantes</t>
        </is>
      </c>
      <c r="D5" s="13" t="inlineStr">
        <is>
          <t>Arthur</t>
        </is>
      </c>
      <c r="E5" s="5" t="n">
        <v>46279</v>
      </c>
      <c r="F5" s="13" t="inlineStr">
        <is>
          <t>Feito</t>
        </is>
      </c>
      <c r="G5" s="4" t="inlineStr">
        <is>
          <t>Links dos dois questionários enviados em 14/09 (DEC-015). docs/evento/FORMULARIOS.md</t>
        </is>
      </c>
    </row>
    <row r="6">
      <c r="A6" s="4" t="n">
        <v>33</v>
      </c>
      <c r="B6" s="4" t="inlineStr">
        <is>
          <t>Palestras</t>
        </is>
      </c>
      <c r="C6" s="4" t="inlineStr">
        <is>
          <t>Criar os formulários online dos palestrantes (VIRUS e Coatio)</t>
        </is>
      </c>
      <c r="D6" s="13" t="inlineStr">
        <is>
          <t>Arthur</t>
        </is>
      </c>
      <c r="E6" s="5" t="n">
        <v>46279</v>
      </c>
      <c r="F6" s="13" t="inlineStr">
        <is>
          <t>Feito</t>
        </is>
      </c>
      <c r="G6" s="4" t="inlineStr">
        <is>
          <t>forms.app. Links em docs/evento/FORMULARIOS.md</t>
        </is>
      </c>
    </row>
    <row r="7">
      <c r="A7" s="4" t="n">
        <v>34</v>
      </c>
      <c r="B7" s="4" t="inlineStr">
        <is>
          <t>Inscrições</t>
        </is>
      </c>
      <c r="C7" s="4" t="inlineStr">
        <is>
          <t>Criar o formulário online de inscrição</t>
        </is>
      </c>
      <c r="D7" s="13" t="inlineStr">
        <is>
          <t>Arthur</t>
        </is>
      </c>
      <c r="E7" s="5" t="n">
        <v>46279</v>
      </c>
      <c r="F7" s="13" t="inlineStr">
        <is>
          <t>Feito</t>
        </is>
      </c>
      <c r="G7" s="4" t="inlineStr">
        <is>
          <t>Refeito em 14/09 (versão 2): só nome, WhatsApp e e-mail, obrigatórios (DEC-014). Link em docs/evento/FORMULARIOS.md</t>
        </is>
      </c>
    </row>
    <row r="8">
      <c r="A8" s="4" t="n">
        <v>35</v>
      </c>
      <c r="B8" s="4" t="inlineStr">
        <is>
          <t>Formulários</t>
        </is>
      </c>
      <c r="C8" s="4" t="inlineStr">
        <is>
          <t>Revisar e aprovar os 3 formulários antes de enviar ou divulgar</t>
        </is>
      </c>
      <c r="D8" s="13" t="inlineStr">
        <is>
          <t>Arthur + Henrique</t>
        </is>
      </c>
      <c r="E8" s="5" t="n">
        <v>46281</v>
      </c>
      <c r="F8" s="13" t="inlineStr">
        <is>
          <t>Feito</t>
        </is>
      </c>
      <c r="G8" s="4" t="inlineStr">
        <is>
          <t>Aprovados na prática em 14/09: questionários enviados e inscrição divulgada no lançamento (DEC-015). Os ajustes que faltam estão na tarefa 41.</t>
        </is>
      </c>
    </row>
    <row r="9">
      <c r="A9" s="4" t="n">
        <v>36</v>
      </c>
      <c r="B9" s="4" t="inlineStr">
        <is>
          <t>Inscrições</t>
        </is>
      </c>
      <c r="C9" s="4" t="inlineStr">
        <is>
          <t>Configurar no formulário o encerramento em 10/10 e o limite de vagas</t>
        </is>
      </c>
      <c r="D9" s="13" t="inlineStr">
        <is>
          <t>Arthur</t>
        </is>
      </c>
      <c r="E9" s="5" t="n">
        <v>46284</v>
      </c>
      <c r="F9" s="13" t="inlineStr">
        <is>
          <t>Não se aplica</t>
        </is>
      </c>
      <c r="G9" s="4" t="inlineStr">
        <is>
          <t>Arthur mantém o formulário como está e faz o controle à mão: confere as inscrições, conta as 20 vagas e encerra a lista em 10/10 (DEC-016).</t>
        </is>
      </c>
    </row>
    <row r="10">
      <c r="A10" s="4" t="n">
        <v>40</v>
      </c>
      <c r="B10" s="4" t="inlineStr">
        <is>
          <t>Inscrições</t>
        </is>
      </c>
      <c r="C10" s="4" t="inlineStr">
        <is>
          <t>Arthur, Henrique, Coatio e Jonathan se inscreverem no formulário</t>
        </is>
      </c>
      <c r="D10" s="13" t="inlineStr">
        <is>
          <t>Arthur, Henrique, Coatio e Jonathan</t>
        </is>
      </c>
      <c r="E10" s="5" t="n">
        <v>46284</v>
      </c>
      <c r="F10" s="13" t="inlineStr">
        <is>
          <t>Feito</t>
        </is>
      </c>
      <c r="G10" s="4" t="inlineStr">
        <is>
          <t>Todos contam nas 20 vagas (DEC-013). Inscritos em 12/10; Jonathan ocupa o lugar do VIRUS (DEC-018).</t>
        </is>
      </c>
    </row>
    <row r="11">
      <c r="A11" s="4" t="n">
        <v>41</v>
      </c>
      <c r="B11" s="4" t="inlineStr">
        <is>
          <t>Formulários</t>
        </is>
      </c>
      <c r="C11" s="4" t="inlineStr">
        <is>
          <t>Aplicar os ajustes pendentes do formulário de inscrição, já em uso</t>
        </is>
      </c>
      <c r="D11" s="13" t="inlineStr">
        <is>
          <t>Arthur</t>
        </is>
      </c>
      <c r="E11" s="5" t="n">
        <v>46284</v>
      </c>
      <c r="F11" s="13" t="inlineStr">
        <is>
          <t>Não se aplica</t>
        </is>
      </c>
      <c r="G11" s="4" t="inlineStr">
        <is>
          <t>Ajustes do forms.app dispensados por Arthur em 15/09 (DEC-016). A tabela de conferência de FORMULARIOS.md fica como referência para a próxima edição.</t>
        </is>
      </c>
    </row>
    <row r="12">
      <c r="A12" s="4" t="n">
        <v>1</v>
      </c>
      <c r="B12" s="4" t="inlineStr">
        <is>
          <t>Espaço</t>
        </is>
      </c>
      <c r="C12" s="4" t="inlineStr">
        <is>
          <t>Desenhar a planta em 3 versões (seca, com móveis, com móveis e pessoas) com os 20 lugares e disponibilizar</t>
        </is>
      </c>
      <c r="D12" s="13" t="inlineStr">
        <is>
          <t>Henrique</t>
        </is>
      </c>
      <c r="E12" s="5" t="n">
        <v>46285</v>
      </c>
      <c r="F12" s="13" t="inlineStr">
        <is>
          <t>Feito</t>
        </is>
      </c>
      <c r="G12" s="4" t="inlineStr">
        <is>
          <t>Uma versão da planta serve; as 3 versões foram dispensadas (12/10, DEC-018).</t>
        </is>
      </c>
    </row>
    <row r="13">
      <c r="A13" s="4" t="n">
        <v>10</v>
      </c>
      <c r="B13" s="4" t="inlineStr">
        <is>
          <t>Divulgação</t>
        </is>
      </c>
      <c r="C13" s="4" t="inlineStr">
        <is>
          <t>Definir como será a inscrição (link ou lista)</t>
        </is>
      </c>
      <c r="D13" s="13" t="inlineStr">
        <is>
          <t>Arthur</t>
        </is>
      </c>
      <c r="E13" s="5" t="n">
        <v>46285</v>
      </c>
      <c r="F13" s="13" t="inlineStr">
        <is>
          <t>Feito</t>
        </is>
      </c>
      <c r="G13" s="4" t="inlineStr">
        <is>
          <t>Formulário de inscrição no forms.app, criado em 14/09 e divulgado no lançamento do mesmo dia (DEC-015). docs/evento/FORMULARIOS.md</t>
        </is>
      </c>
    </row>
    <row r="14">
      <c r="A14" s="4" t="n">
        <v>7</v>
      </c>
      <c r="B14" s="4" t="inlineStr">
        <is>
          <t>Palestras</t>
        </is>
      </c>
      <c r="C14" s="4" t="inlineStr">
        <is>
          <t>Receber títulos e resumos das duas palestras</t>
        </is>
      </c>
      <c r="D14" s="13" t="inlineStr">
        <is>
          <t>Arthur</t>
        </is>
      </c>
      <c r="E14" s="5" t="n">
        <v>46286</v>
      </c>
      <c r="F14" s="13" t="inlineStr">
        <is>
          <t>Feito</t>
        </is>
      </c>
      <c r="G14" s="4" t="inlineStr">
        <is>
          <t>Coatio entregou em 23/09; Jonathan tem título, sinopse, minibio e foto com Arthur (12/10). Dados ainda a registrar em docs/evento/RESPOSTAS_PALESTRANTES.md (DEC-018).</t>
        </is>
      </c>
    </row>
    <row r="15">
      <c r="A15" s="4" t="n">
        <v>8</v>
      </c>
      <c r="B15" s="4" t="inlineStr">
        <is>
          <t>Palestras</t>
        </is>
      </c>
      <c r="C15" s="4" t="inlineStr">
        <is>
          <t>Receber o rascunho inicial do material de apoio e uma pergunta para o quiz de cada palestrante</t>
        </is>
      </c>
      <c r="D15" s="13" t="inlineStr">
        <is>
          <t>Arthur</t>
        </is>
      </c>
      <c r="E15" s="5" t="n">
        <v>46293</v>
      </c>
      <c r="F15" s="13" t="inlineStr">
        <is>
          <t>Feito</t>
        </is>
      </c>
      <c r="G15" s="4" t="inlineStr">
        <is>
          <t>Os dois palestrantes entregaram o rascunho e a versão final (12/10, DEC-018).</t>
        </is>
      </c>
    </row>
    <row r="16">
      <c r="A16" s="4" t="n">
        <v>38</v>
      </c>
      <c r="B16" s="4" t="inlineStr">
        <is>
          <t>Palestras</t>
        </is>
      </c>
      <c r="C16" s="4" t="inlineStr">
        <is>
          <t>Receber a gravação do ensaio com o roteiro de cada palestrante</t>
        </is>
      </c>
      <c r="D16" s="13" t="inlineStr">
        <is>
          <t>Arthur</t>
        </is>
      </c>
      <c r="E16" s="5" t="n">
        <v>46298</v>
      </c>
      <c r="F16" s="13" t="inlineStr">
        <is>
          <t>Feito</t>
        </is>
      </c>
      <c r="G16" s="4" t="inlineStr">
        <is>
          <t>Os dois palestrantes entregaram a gravação do ensaio com o roteiro (12/10, DEC-018).</t>
        </is>
      </c>
    </row>
    <row r="17">
      <c r="A17" s="4" t="n">
        <v>9</v>
      </c>
      <c r="B17" s="4" t="inlineStr">
        <is>
          <t>Palestras</t>
        </is>
      </c>
      <c r="C17" s="4" t="inlineStr">
        <is>
          <t>Ensaio com a tela escolhida</t>
        </is>
      </c>
      <c r="D17" s="13" t="inlineStr">
        <is>
          <t>Arthur + Henrique + palestrantes</t>
        </is>
      </c>
      <c r="E17" s="5" t="n">
        <v>46299</v>
      </c>
      <c r="F17" s="13" t="inlineStr">
        <is>
          <t>Feito</t>
        </is>
      </c>
      <c r="G17" s="4" t="inlineStr">
        <is>
          <t>Ensaio feito (12/10). A tela definitiva depende da retirada do projetor (nº 44).</t>
        </is>
      </c>
    </row>
    <row r="18">
      <c r="A18" s="4" t="n">
        <v>22</v>
      </c>
      <c r="B18" s="4" t="inlineStr">
        <is>
          <t>Compras</t>
        </is>
      </c>
      <c r="C18" s="4" t="inlineStr">
        <is>
          <t>Brinde: comprar as canecas (2 do sorteio e 2 dos organizadores)</t>
        </is>
      </c>
      <c r="D18" s="13" t="inlineStr">
        <is>
          <t>A definir</t>
        </is>
      </c>
      <c r="E18" s="5" t="n">
        <v>46299</v>
      </c>
      <c r="F18" s="13" t="inlineStr">
        <is>
          <t>Feito</t>
        </is>
      </c>
      <c r="G18" s="4" t="inlineStr">
        <is>
          <t>4 canecas mágicas foscas de 325 ml, sublimadas, R$ 209,00 (R$ 52,25 cada, 5% de desconto): 2 do sorteio, 1 de Arthur, 1 de Henrique. Retirada em 24/09. Previsão era 2 por R$ 70 (DEC-018).</t>
        </is>
      </c>
    </row>
    <row r="19">
      <c r="A19" s="4" t="n">
        <v>23</v>
      </c>
      <c r="B19" s="4" t="inlineStr">
        <is>
          <t>Alimentação</t>
        </is>
      </c>
      <c r="C19" s="4" t="inlineStr">
        <is>
          <t>Confirmar quem prepara e serve o almoço no dia</t>
        </is>
      </c>
      <c r="D19" s="13" t="inlineStr">
        <is>
          <t>Henrique</t>
        </is>
      </c>
      <c r="E19" s="5" t="n">
        <v>46299</v>
      </c>
      <c r="F19" s="13" t="inlineStr">
        <is>
          <t>Feito</t>
        </is>
      </c>
      <c r="G19" s="4" t="inlineStr">
        <is>
          <t>Agda prepara o almoço, arranjo de Henrique (12/10, DEC-018).</t>
        </is>
      </c>
    </row>
    <row r="20">
      <c r="A20" s="4" t="n">
        <v>24</v>
      </c>
      <c r="B20" s="4" t="inlineStr">
        <is>
          <t>Alimentação</t>
        </is>
      </c>
      <c r="C20" s="4" t="inlineStr">
        <is>
          <t>Definir as proporções do almoço para 11, 16 e 20 pessoas</t>
        </is>
      </c>
      <c r="D20" s="13" t="inlineStr">
        <is>
          <t>Henrique</t>
        </is>
      </c>
      <c r="E20" s="5" t="n">
        <v>46299</v>
      </c>
      <c r="F20" s="13" t="inlineStr">
        <is>
          <t>Feito</t>
        </is>
      </c>
      <c r="G20" s="4" t="inlineStr">
        <is>
          <t>Proporções prontas (12/10). Conferir contra o número final em 13/10. Aba Cardápio.</t>
        </is>
      </c>
    </row>
    <row r="21">
      <c r="A21" s="4" t="n">
        <v>25</v>
      </c>
      <c r="B21" s="4" t="inlineStr">
        <is>
          <t>Alimentação</t>
        </is>
      </c>
      <c r="C21" s="4" t="inlineStr">
        <is>
          <t>Levantar o pedido da padaria para 11, 16 e 20 pessoas</t>
        </is>
      </c>
      <c r="D21" s="13" t="inlineStr">
        <is>
          <t>Henrique</t>
        </is>
      </c>
      <c r="E21" s="5" t="n">
        <v>46299</v>
      </c>
      <c r="F21" s="13" t="inlineStr">
        <is>
          <t>Feito</t>
        </is>
      </c>
      <c r="G21" s="4" t="inlineStr">
        <is>
          <t>Pedido levantado (12/10). A encomenda sai depois do fechamento, nº 26. Pãezinhos, assados e café.</t>
        </is>
      </c>
    </row>
    <row r="22">
      <c r="A22" s="4" t="n">
        <v>17</v>
      </c>
      <c r="B22" s="4" t="inlineStr">
        <is>
          <t>Inscrições</t>
        </is>
      </c>
      <c r="C22" s="4" t="inlineStr">
        <is>
          <t>Avaliar pedidos de convidados de fora do grupo</t>
        </is>
      </c>
      <c r="D22" s="13" t="inlineStr">
        <is>
          <t>Arthur + Henrique</t>
        </is>
      </c>
      <c r="E22" s="5" t="n">
        <v>46305</v>
      </c>
      <c r="F22" s="13" t="inlineStr">
        <is>
          <t>Não se aplica</t>
        </is>
      </c>
      <c r="G22" s="4" t="inlineStr">
        <is>
          <t>Nenhum convidado de fora do grupo pediu entrada até 12/10 (DEC-018).</t>
        </is>
      </c>
    </row>
    <row r="23">
      <c r="A23" s="4" t="n">
        <v>18</v>
      </c>
      <c r="B23" s="4" t="inlineStr">
        <is>
          <t>Inscrições</t>
        </is>
      </c>
      <c r="C23" s="4" t="inlineStr">
        <is>
          <t>Encerrar as inscrições e fechar o quantitativo confirmado</t>
        </is>
      </c>
      <c r="D23" s="13" t="inlineStr">
        <is>
          <t>Arthur + Henrique</t>
        </is>
      </c>
      <c r="E23" s="5" t="n">
        <v>46307</v>
      </c>
      <c r="F23" s="13" t="inlineStr">
        <is>
          <t>Feito</t>
        </is>
      </c>
      <c r="G23" s="4" t="inlineStr">
        <is>
          <t>Fechou com 20 inscritos, lotado (DEC-020). Número anotado na aba Cardápio.</t>
        </is>
      </c>
    </row>
    <row r="24">
      <c r="A24" s="4" t="n">
        <v>37</v>
      </c>
      <c r="B24" s="4" t="inlineStr">
        <is>
          <t>Inscrições</t>
        </is>
      </c>
      <c r="C24" s="4" t="inlineStr">
        <is>
          <t>Acompanhar as inscrições e atualizar a contagem de vagas</t>
        </is>
      </c>
      <c r="D24" s="13" t="inlineStr">
        <is>
          <t>Arthur</t>
        </is>
      </c>
      <c r="E24" s="5" t="n">
        <v>46307</v>
      </c>
      <c r="F24" s="13" t="inlineStr">
        <is>
          <t>Feito</t>
        </is>
      </c>
      <c r="G24" s="4" t="inlineStr">
        <is>
          <t>20 inscritos no fechamento (DEC-020).</t>
        </is>
      </c>
    </row>
    <row r="25">
      <c r="A25" s="4" t="n">
        <v>39</v>
      </c>
      <c r="B25" s="4" t="inlineStr">
        <is>
          <t>Alimentação</t>
        </is>
      </c>
      <c r="C25" s="4" t="inlineStr">
        <is>
          <t>Planejar opção sem lactose e sem glúten para quem informar restrição</t>
        </is>
      </c>
      <c r="D25" s="13" t="inlineStr">
        <is>
          <t>Henrique</t>
        </is>
      </c>
      <c r="E25" s="5" t="n">
        <v>46307</v>
      </c>
      <c r="F25" s="13" t="inlineStr">
        <is>
          <t>Não se aplica</t>
        </is>
      </c>
      <c r="G25" s="4" t="inlineStr">
        <is>
          <t>Restrição alimentar fica para as próximas edições (DEC-014 e DEC-015). Risco aceito: o cardápio tem glúten e lactose em quase tudo.</t>
        </is>
      </c>
    </row>
    <row r="26">
      <c r="A26" s="4" t="n">
        <v>2</v>
      </c>
      <c r="B26" s="4" t="inlineStr">
        <is>
          <t>Espaço</t>
        </is>
      </c>
      <c r="C26" s="4" t="inlineStr">
        <is>
          <t>Definir a tela principal: projetor e telão, ou TV</t>
        </is>
      </c>
      <c r="D26" s="13" t="inlineStr">
        <is>
          <t>Arthur + Henrique</t>
        </is>
      </c>
      <c r="E26" s="5" t="n">
        <v>46308</v>
      </c>
      <c r="F26" s="13" t="inlineStr">
        <is>
          <t>Feito</t>
        </is>
      </c>
      <c r="G26" s="4" t="inlineStr">
        <is>
          <t>Projetor não retirado; a TV é a tela principal (16/10, DEC-021). Avisar o Coatio: Comunicação nº 37.</t>
        </is>
      </c>
    </row>
    <row r="27">
      <c r="A27" s="4" t="n">
        <v>26</v>
      </c>
      <c r="B27" s="4" t="inlineStr">
        <is>
          <t>Alimentação</t>
        </is>
      </c>
      <c r="C27" s="4" t="inlineStr">
        <is>
          <t>Encomendar o lanche na padaria com o quantitativo confirmado</t>
        </is>
      </c>
      <c r="D27" s="13" t="inlineStr">
        <is>
          <t>Henrique</t>
        </is>
      </c>
      <c r="E27" s="5" t="n">
        <v>46308</v>
      </c>
      <c r="F27" s="13" t="inlineStr">
        <is>
          <t>Feito</t>
        </is>
      </c>
      <c r="G27" s="4" t="inlineStr">
        <is>
          <t>Lanche encomendado para 20 pessoas (14/10, DEC-020). Retirada perto das 15h: nº 47.</t>
        </is>
      </c>
    </row>
    <row r="28">
      <c r="A28" s="4" t="n">
        <v>44</v>
      </c>
      <c r="B28" s="4" t="inlineStr">
        <is>
          <t>Espaço</t>
        </is>
      </c>
      <c r="C28" s="4" t="inlineStr">
        <is>
          <t>Retirar o projetor emprestado com o amigo do Henrique</t>
        </is>
      </c>
      <c r="D28" s="13" t="inlineStr">
        <is>
          <t>Henrique</t>
        </is>
      </c>
      <c r="E28" s="5" t="n">
        <v>46308</v>
      </c>
      <c r="F28" s="13" t="inlineStr">
        <is>
          <t>Não se aplica</t>
        </is>
      </c>
      <c r="G28" s="4" t="inlineStr">
        <is>
          <t>Projetor não foi retirado; vai a TV (DEC-021).</t>
        </is>
      </c>
    </row>
    <row r="29">
      <c r="A29" s="4" t="n">
        <v>21</v>
      </c>
      <c r="B29" s="4" t="inlineStr">
        <is>
          <t>Compras</t>
        </is>
      </c>
      <c r="C29" s="4" t="inlineStr">
        <is>
          <t>Banner: arte e encomenda</t>
        </is>
      </c>
      <c r="D29" s="13" t="inlineStr">
        <is>
          <t>Arthur</t>
        </is>
      </c>
      <c r="E29" s="5" t="n">
        <v>46310</v>
      </c>
      <c r="F29" s="13" t="inlineStr">
        <is>
          <t>Feito</t>
        </is>
      </c>
      <c r="G29" s="4" t="inlineStr">
        <is>
          <t>Banner chegou: R$ 54,90 + R$ 15,00 de entrega = R$ 69,90. Previsão R$ 60 (DEC-021). Tem o QR code do check-in.</t>
        </is>
      </c>
    </row>
    <row r="30">
      <c r="A30" s="4" t="n">
        <v>3</v>
      </c>
      <c r="B30" s="4" t="inlineStr">
        <is>
          <t>Espaço</t>
        </is>
      </c>
      <c r="C30" s="4" t="inlineStr">
        <is>
          <t>Separar as mesas de plástico extras, se a planta precisar</t>
        </is>
      </c>
      <c r="D30" s="13" t="inlineStr">
        <is>
          <t>Henrique</t>
        </is>
      </c>
      <c r="E30" s="5" t="n">
        <v>46311</v>
      </c>
      <c r="F30" s="13" t="inlineStr">
        <is>
          <t>Feito</t>
        </is>
      </c>
      <c r="G30" s="4" t="inlineStr">
        <is>
          <t>Pronto em 16/10 (DEC-021).</t>
        </is>
      </c>
    </row>
    <row r="31">
      <c r="A31" s="4" t="n">
        <v>5</v>
      </c>
      <c r="B31" s="4" t="inlineStr">
        <is>
          <t>Espaço</t>
        </is>
      </c>
      <c r="C31" s="4" t="inlineStr">
        <is>
          <t>Posicionar 2 ou 3 ventiladores cruzados na sala e testar</t>
        </is>
      </c>
      <c r="D31" s="13" t="inlineStr">
        <is>
          <t>Henrique</t>
        </is>
      </c>
      <c r="E31" s="5" t="n">
        <v>46311</v>
      </c>
      <c r="F31" s="13" t="inlineStr">
        <is>
          <t>Feito</t>
        </is>
      </c>
      <c r="G31" s="4" t="inlineStr">
        <is>
          <t>Pronto em 16/10 (DEC-021).</t>
        </is>
      </c>
    </row>
    <row r="32">
      <c r="A32" s="4" t="n">
        <v>27</v>
      </c>
      <c r="B32" s="4" t="inlineStr">
        <is>
          <t>Alimentação</t>
        </is>
      </c>
      <c r="C32" s="4" t="inlineStr">
        <is>
          <t>Comprar ingredientes do almoço, refrigerantes, sucos e café</t>
        </is>
      </c>
      <c r="D32" s="13" t="inlineStr">
        <is>
          <t>Henrique</t>
        </is>
      </c>
      <c r="E32" s="5" t="n">
        <v>46311</v>
      </c>
      <c r="F32" s="13" t="inlineStr">
        <is>
          <t>Feito</t>
        </is>
      </c>
      <c r="G32" s="4" t="inlineStr">
        <is>
          <t>Compras do almoço prontas em 16/10 (DEC-021). Agda ajudou no preparo e não estará presente.</t>
        </is>
      </c>
    </row>
    <row r="33">
      <c r="A33" s="4" t="n">
        <v>42</v>
      </c>
      <c r="B33" s="4" t="inlineStr">
        <is>
          <t>Dinâmicas</t>
        </is>
      </c>
      <c r="C33" s="4" t="inlineStr">
        <is>
          <t>Backlog: dinâmica do psiquiatra</t>
        </is>
      </c>
      <c r="D33" s="13" t="inlineStr">
        <is>
          <t>Arthur</t>
        </is>
      </c>
      <c r="E33" s="5" t="n">
        <v>46311</v>
      </c>
      <c r="F33" s="13" t="inlineStr">
        <is>
          <t>A fazer</t>
        </is>
      </c>
      <c r="G33" s="4" t="inlineStr">
        <is>
          <t>Backlog sem data fixa (DEC-018). Detalhar o que significa ("prev ver relatório clinica") antes de usar. O amassador de batatas e o sushi já entraram no roteiro (nº 29 e 46).</t>
        </is>
      </c>
    </row>
    <row r="34">
      <c r="A34" s="4" t="n">
        <v>43</v>
      </c>
      <c r="B34" s="4" t="inlineStr">
        <is>
          <t>Orçamento</t>
        </is>
      </c>
      <c r="C34" s="4" t="inlineStr">
        <is>
          <t>Decidir com o Henrique como será a dinâmica do QR code de Pix aberto (patron)</t>
        </is>
      </c>
      <c r="D34" s="13" t="inlineStr">
        <is>
          <t>Arthur + Henrique</t>
        </is>
      </c>
      <c r="E34" s="5" t="n">
        <v>46311</v>
      </c>
      <c r="F34" s="13" t="inlineStr">
        <is>
          <t>Feito</t>
        </is>
      </c>
      <c r="G34" s="4" t="inlineStr">
        <is>
          <t>Arte criada por Arthur; vai só dentro do formulário de feedback, e o valor abate o custo desta edição. Recebedor não informado (DEC-021).</t>
        </is>
      </c>
    </row>
    <row r="35">
      <c r="A35" s="4" t="n">
        <v>4</v>
      </c>
      <c r="B35" s="4" t="inlineStr">
        <is>
          <t>Espaço</t>
        </is>
      </c>
      <c r="C35" s="4" t="inlineStr">
        <is>
          <t>Testar notebook → cabo/adaptador → tela com material real</t>
        </is>
      </c>
      <c r="D35" s="13" t="inlineStr">
        <is>
          <t>Arthur + Henrique</t>
        </is>
      </c>
      <c r="E35" s="5" t="n">
        <v>46312</v>
      </c>
      <c r="F35" s="13" t="inlineStr">
        <is>
          <t>A fazer</t>
        </is>
      </c>
      <c r="G35" s="4" t="inlineStr">
        <is>
          <t>Na TV, na manhã de 17/10 ou às 13h30 (Jonathan) e 13h45 (Coatio). O Coatio precisa de HDMI para a demonstração do piloto.</t>
        </is>
      </c>
    </row>
    <row r="36">
      <c r="A36" s="4" t="n">
        <v>28</v>
      </c>
      <c r="B36" s="4" t="inlineStr">
        <is>
          <t>Dinâmicas</t>
        </is>
      </c>
      <c r="C36" s="4" t="inlineStr">
        <is>
          <t>Montar o quiz do QR code e o formulário de feedback e relacionamento</t>
        </is>
      </c>
      <c r="D36" s="13" t="inlineStr">
        <is>
          <t>Arthur</t>
        </is>
      </c>
      <c r="E36" s="5" t="n">
        <v>46312</v>
      </c>
      <c r="F36" s="13" t="inlineStr">
        <is>
          <t>Em andamento</t>
        </is>
      </c>
      <c r="G36" s="4" t="inlineStr">
        <is>
          <t>Em 16/10 nenhum estava pronto; Arthur monta com o conteúdo de docs/evento/SORTEIO_E_FEEDBACK.md. Gerar os QR codes e testar pelo celular (DEC-021).</t>
        </is>
      </c>
    </row>
    <row r="37">
      <c r="A37" s="4" t="n">
        <v>29</v>
      </c>
      <c r="B37" s="4" t="inlineStr">
        <is>
          <t>Dinâmicas</t>
        </is>
      </c>
      <c r="C37" s="4" t="inlineStr">
        <is>
          <t>Preparar a dinâmica do amassador de batatas (recepção)</t>
        </is>
      </c>
      <c r="D37" s="13" t="inlineStr">
        <is>
          <t>Arthur</t>
        </is>
      </c>
      <c r="E37" s="5" t="n">
        <v>46312</v>
      </c>
      <c r="F37" s="13" t="inlineStr">
        <is>
          <t>Em andamento</t>
        </is>
      </c>
      <c r="G37" s="4" t="inlineStr">
        <is>
          <t>Amassador de batatas quase pronto em 16/10; Arthur está finalizando (DEC-021). Descrição em docs/evento/DINAMICAS.md quando fechar.</t>
        </is>
      </c>
    </row>
    <row r="38">
      <c r="A38" s="4" t="n">
        <v>30</v>
      </c>
      <c r="B38" s="4" t="inlineStr">
        <is>
          <t>Dinâmicas</t>
        </is>
      </c>
      <c r="C38" s="4" t="inlineStr">
        <is>
          <t>Preparar a pergunta de abertura da Mesa 360</t>
        </is>
      </c>
      <c r="D38" s="13" t="inlineStr">
        <is>
          <t>Arthur + Henrique</t>
        </is>
      </c>
      <c r="E38" s="5" t="n">
        <v>46312</v>
      </c>
      <c r="F38" s="13" t="inlineStr">
        <is>
          <t>A fazer</t>
        </is>
      </c>
      <c r="G38" s="4" t="inlineStr">
        <is>
          <t>Adiada da véspera. Mesa 360: 15 min sushi, 10 apresentação do Henrique, 5 quiz, 5 sorteio, 10 fechamento (DEC-021).</t>
        </is>
      </c>
    </row>
    <row r="39">
      <c r="A39" s="4" t="n">
        <v>45</v>
      </c>
      <c r="B39" s="4" t="inlineStr">
        <is>
          <t>Dinâmicas</t>
        </is>
      </c>
      <c r="C39" s="4" t="inlineStr">
        <is>
          <t>Definir o que o Henrique apresenta na Mesa 360 e quanto tempo leva</t>
        </is>
      </c>
      <c r="D39" s="13" t="inlineStr">
        <is>
          <t>Henrique</t>
        </is>
      </c>
      <c r="E39" s="5" t="n">
        <v>46312</v>
      </c>
      <c r="F39" s="13" t="inlineStr">
        <is>
          <t>A fazer</t>
        </is>
      </c>
      <c r="G39" s="4" t="inlineStr">
        <is>
          <t>Tempo aceito em 16/10: 10 min na Mesa 360. O assunto segue a anunciar (DEC-021).</t>
        </is>
      </c>
    </row>
    <row r="40">
      <c r="A40" s="4" t="n">
        <v>46</v>
      </c>
      <c r="B40" s="4" t="inlineStr">
        <is>
          <t>Dinâmicas</t>
        </is>
      </c>
      <c r="C40" s="4" t="inlineStr">
        <is>
          <t>Preparar a dinâmica do sushi para a Mesa 360</t>
        </is>
      </c>
      <c r="D40" s="13" t="inlineStr">
        <is>
          <t>Arthur</t>
        </is>
      </c>
      <c r="E40" s="5" t="n">
        <v>46312</v>
      </c>
      <c r="F40" s="13" t="inlineStr">
        <is>
          <t>A fazer</t>
        </is>
      </c>
      <c r="G40" s="4" t="inlineStr">
        <is>
          <t>Backlog por último (16/10). A IA vem depois das pessoas. Decidir o tema antes das 16h15 e guardar a resposta da IA. Roteiro em docs/evento/DINAMICAS.md (DEC-021).</t>
        </is>
      </c>
    </row>
    <row r="41">
      <c r="A41" s="4" t="n">
        <v>47</v>
      </c>
      <c r="B41" s="4" t="inlineStr">
        <is>
          <t>Alimentação</t>
        </is>
      </c>
      <c r="C41" s="4" t="inlineStr">
        <is>
          <t>Retirar o lanche encomendado na padaria, perto das 15h</t>
        </is>
      </c>
      <c r="D41" s="13" t="inlineStr">
        <is>
          <t>A definir</t>
        </is>
      </c>
      <c r="E41" s="5" t="n">
        <v>46312</v>
      </c>
      <c r="F41" s="13" t="inlineStr">
        <is>
          <t>A fazer</t>
        </is>
      </c>
      <c r="G41" s="4" t="inlineStr">
        <is>
          <t>O responsável não foi informado (16/10). O lanche é servido às 15h45 (DEC-021).</t>
        </is>
      </c>
    </row>
    <row r="42">
      <c r="A42" s="4" t="n">
        <v>48</v>
      </c>
      <c r="B42" s="4" t="inlineStr">
        <is>
          <t>Inscrições</t>
        </is>
      </c>
      <c r="C42" s="4" t="inlineStr">
        <is>
          <t>Testar o QR code do check-in no banner com o celular, com a lista do painel do forms.app como reserva</t>
        </is>
      </c>
      <c r="D42" s="13" t="inlineStr">
        <is>
          <t>Arthur</t>
        </is>
      </c>
      <c r="E42" s="5" t="n">
        <v>46312</v>
      </c>
      <c r="F42" s="13" t="inlineStr">
        <is>
          <t>A fazer</t>
        </is>
      </c>
      <c r="G42" s="4" t="inlineStr">
        <is>
          <t>Fazer antes das 10h30. Se a rede cair, usar a lista do painel (DEC-021).</t>
        </is>
      </c>
    </row>
    <row r="43">
      <c r="A43" s="4" t="n">
        <v>49</v>
      </c>
      <c r="B43" s="4" t="inlineStr">
        <is>
          <t>Divulgação</t>
        </is>
      </c>
      <c r="C43" s="4" t="inlineStr">
        <is>
          <t>Orientar o Junim Reis: fotos podem, mas NÃO gravar áudio nem vídeo da palestra do Jonathan</t>
        </is>
      </c>
      <c r="D43" s="13" t="inlineStr">
        <is>
          <t>Arthur</t>
        </is>
      </c>
      <c r="E43" s="5" t="n">
        <v>46312</v>
      </c>
      <c r="F43" s="13" t="inlineStr">
        <is>
          <t>A fazer</t>
        </is>
      </c>
      <c r="G43" s="4" t="inlineStr">
        <is>
          <t>Jonathan não autorizou gravação (formulário dele). O Coatio autorizou fotos e gravação, com divulgação pública mediante aprovação dele (DEC-021).</t>
        </is>
      </c>
    </row>
    <row r="44">
      <c r="A44" s="4" t="n">
        <v>32</v>
      </c>
      <c r="B44" s="4" t="inlineStr">
        <is>
          <t>Pós-evento</t>
        </is>
      </c>
      <c r="C44" s="4" t="inlineStr">
        <is>
          <t>Fechar o balanço com comprovantes e acertar a divisão</t>
        </is>
      </c>
      <c r="D44" s="13" t="inlineStr">
        <is>
          <t>Arthur + Henrique</t>
        </is>
      </c>
      <c r="E44" s="5" t="n">
        <v>46319</v>
      </c>
      <c r="F44" s="13" t="inlineStr">
        <is>
          <t>A fazer</t>
        </is>
      </c>
      <c r="G44" s="4" t="inlineStr">
        <is>
          <t>Tudo dividido 50/50 depois do evento (DEC-020). Entram as 4 canecas (R$ 209,00), o banner (R$ 69,90) e o Pix recebido, que abate o custo. Aba Orçamento.</t>
        </is>
      </c>
    </row>
  </sheetData>
  <autoFilter ref="A4:G44">
    <sortState ref="A5:G36">
      <sortCondition ref="E4:E36"/>
    </sortState>
  </autoFilter>
  <conditionalFormatting sqref="A5:G44">
    <cfRule type="expression" priority="5" dxfId="3">
      <formula>$F5="Feito"</formula>
    </cfRule>
    <cfRule type="expression" priority="6" dxfId="2">
      <formula>$F5="Não se aplica"</formula>
    </cfRule>
    <cfRule type="expression" priority="7" dxfId="1">
      <formula>AND($E5&lt;TODAY(),$F5&lt;&gt;"Feito",$F5&lt;&gt;"Não se aplica")</formula>
    </cfRule>
    <cfRule type="expression" priority="8" dxfId="0">
      <formula>$F5="Aguardando aprovação"</formula>
    </cfRule>
  </conditionalFormatting>
  <dataValidations count="1">
    <dataValidation sqref="F5:F44" showDropDown="0" showInputMessage="0" showErrorMessage="0" allowBlank="0" type="list">
      <formula1>"A fazer,Em andamento,Feito,Aguardando aprovação,Não se aplica"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4" topLeftCell="A2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2" customWidth="1" min="3" max="3"/>
    <col width="24" customWidth="1" min="4" max="4"/>
    <col width="12" customWidth="1" min="5" max="5"/>
    <col width="13" customWidth="1" min="6" max="6"/>
    <col width="20" customWidth="1" min="7" max="7"/>
    <col width="16" customWidth="1" min="8" max="8"/>
    <col width="44" customWidth="1" min="9" max="9"/>
  </cols>
  <sheetData>
    <row r="1" ht="18.75" customHeight="1">
      <c r="A1" s="14" t="inlineStr">
        <is>
          <t>TECHNE Talks · Encontro nº 02 — comunicação</t>
        </is>
      </c>
    </row>
    <row r="2">
      <c r="A2" s="15" t="inlineStr">
        <is>
          <t>Ordem padrão das mensagens, reutilizável nas próximas edições. Passo a passo e radar do que ainda falta comunicar: docs/evento/COMUNICACAO.md. Textos prontos: docs/evento/DIVULGACAO.md.</t>
        </is>
      </c>
    </row>
    <row r="3">
      <c r="A3" t="inlineStr">
        <is>
          <t>Amarelo: preencher. Prazo vencido sem 'Feito' fica vermelho. Quem envia é sempre um organizador.</t>
        </is>
      </c>
    </row>
    <row r="4">
      <c r="A4" s="16" t="inlineStr">
        <is>
          <t>Nº</t>
        </is>
      </c>
      <c r="B4" s="16" t="inlineStr">
        <is>
          <t>Fase</t>
        </is>
      </c>
      <c r="C4" s="16" t="inlineStr">
        <is>
          <t>Peça / mensagem</t>
        </is>
      </c>
      <c r="D4" s="16" t="inlineStr">
        <is>
          <t>Gatilho</t>
        </is>
      </c>
      <c r="E4" s="16" t="inlineStr">
        <is>
          <t>Data</t>
        </is>
      </c>
      <c r="F4" s="16" t="inlineStr">
        <is>
          <t>Canal</t>
        </is>
      </c>
      <c r="G4" s="16" t="inlineStr">
        <is>
          <t>Responsável</t>
        </is>
      </c>
      <c r="H4" s="16" t="inlineStr">
        <is>
          <t>Status</t>
        </is>
      </c>
      <c r="I4" s="16" t="inlineStr">
        <is>
          <t>Observação</t>
        </is>
      </c>
    </row>
    <row r="5">
      <c r="A5" s="4" t="n">
        <v>1</v>
      </c>
      <c r="B5" s="4" t="inlineStr">
        <is>
          <t>0 · Preparação</t>
        </is>
      </c>
      <c r="C5" s="4" t="inlineStr">
        <is>
          <t>Fechar a identidade: nome público, logo e paleta</t>
        </is>
      </c>
      <c r="D5" s="4" t="inlineStr">
        <is>
          <t>Data e local fechados</t>
        </is>
      </c>
      <c r="E5" s="5" t="n">
        <v>46277</v>
      </c>
      <c r="F5" s="4" t="inlineStr">
        <is>
          <t>—</t>
        </is>
      </c>
      <c r="G5" s="13" t="inlineStr">
        <is>
          <t>Arthur + Henrique</t>
        </is>
      </c>
      <c r="H5" s="13" t="inlineStr">
        <is>
          <t>Feito</t>
        </is>
      </c>
      <c r="I5" s="4" t="n"/>
    </row>
    <row r="6">
      <c r="A6" s="4" t="n">
        <v>2</v>
      </c>
      <c r="B6" s="4" t="inlineStr">
        <is>
          <t>0 · Preparação</t>
        </is>
      </c>
      <c r="C6" s="4" t="inlineStr">
        <is>
          <t>Escrever a descrição do grupo, a mensagem de lançamento e os textos das peças</t>
        </is>
      </c>
      <c r="D6" s="4" t="inlineStr">
        <is>
          <t>Identidade fechada</t>
        </is>
      </c>
      <c r="E6" s="5" t="n">
        <v>46279</v>
      </c>
      <c r="F6" s="4" t="inlineStr">
        <is>
          <t>Repositório</t>
        </is>
      </c>
      <c r="G6" s="13" t="inlineStr">
        <is>
          <t>Arthur</t>
        </is>
      </c>
      <c r="H6" s="13" t="inlineStr">
        <is>
          <t>Feito</t>
        </is>
      </c>
      <c r="I6" s="4" t="inlineStr">
        <is>
          <t>docs/evento/DIVULGACAO.md</t>
        </is>
      </c>
    </row>
    <row r="7">
      <c r="A7" s="4" t="n">
        <v>3</v>
      </c>
      <c r="B7" s="4" t="inlineStr">
        <is>
          <t>0 · Preparação</t>
        </is>
      </c>
      <c r="C7" s="4" t="inlineStr">
        <is>
          <t>Criar e testar o formulário de inscrição</t>
        </is>
      </c>
      <c r="D7" s="4" t="inlineStr">
        <is>
          <t>Textos prontos</t>
        </is>
      </c>
      <c r="E7" s="5" t="n">
        <v>46279</v>
      </c>
      <c r="F7" s="4" t="inlineStr">
        <is>
          <t>forms.app</t>
        </is>
      </c>
      <c r="G7" s="13" t="inlineStr">
        <is>
          <t>Arthur</t>
        </is>
      </c>
      <c r="H7" s="13" t="inlineStr">
        <is>
          <t>Feito</t>
        </is>
      </c>
      <c r="I7" s="4" t="inlineStr">
        <is>
          <t>docs/evento/FORMULARIOS.md. Fica como está; vagas e encerramento controlados à mão (DEC-016).</t>
        </is>
      </c>
    </row>
    <row r="8">
      <c r="A8" s="4" t="n">
        <v>4</v>
      </c>
      <c r="B8" s="4" t="inlineStr">
        <is>
          <t>0 · Preparação</t>
        </is>
      </c>
      <c r="C8" s="4" t="inlineStr">
        <is>
          <t>Produzir as artes das peças 1 (convite) e 2 (programação)</t>
        </is>
      </c>
      <c r="D8" s="4" t="inlineStr">
        <is>
          <t>Textos aprovados</t>
        </is>
      </c>
      <c r="E8" s="5" t="n">
        <v>46279</v>
      </c>
      <c r="F8" s="4" t="inlineStr">
        <is>
          <t>—</t>
        </is>
      </c>
      <c r="G8" s="13" t="inlineStr">
        <is>
          <t>Arthur</t>
        </is>
      </c>
      <c r="H8" s="13" t="inlineStr">
        <is>
          <t>Feito</t>
        </is>
      </c>
      <c r="I8" s="4" t="n"/>
    </row>
    <row r="9">
      <c r="A9" s="4" t="n">
        <v>5</v>
      </c>
      <c r="B9" s="4" t="inlineStr">
        <is>
          <t>0 · Preparação</t>
        </is>
      </c>
      <c r="C9" s="4" t="inlineStr">
        <is>
          <t>Aprovar as artes e os textos finais</t>
        </is>
      </c>
      <c r="D9" s="4" t="inlineStr">
        <is>
          <t>Artes prontas</t>
        </is>
      </c>
      <c r="E9" s="5" t="n">
        <v>46279</v>
      </c>
      <c r="F9" s="4" t="inlineStr">
        <is>
          <t>—</t>
        </is>
      </c>
      <c r="G9" s="13" t="inlineStr">
        <is>
          <t>Arthur + Henrique</t>
        </is>
      </c>
      <c r="H9" s="13" t="inlineStr">
        <is>
          <t>Feito</t>
        </is>
      </c>
      <c r="I9" s="4" t="inlineStr">
        <is>
          <t>Aprovação dos dois organizadores.</t>
        </is>
      </c>
    </row>
    <row r="10">
      <c r="A10" s="4" t="n">
        <v>6</v>
      </c>
      <c r="B10" s="4" t="inlineStr">
        <is>
          <t>1 · Lançamento</t>
        </is>
      </c>
      <c r="C10" s="4" t="inlineStr">
        <is>
          <t>Trocar nome, foto e descrição do grupo</t>
        </is>
      </c>
      <c r="D10" s="4" t="inlineStr">
        <is>
          <t>Aprovação</t>
        </is>
      </c>
      <c r="E10" s="5" t="n">
        <v>46279</v>
      </c>
      <c r="F10" s="4" t="inlineStr">
        <is>
          <t>WhatsApp</t>
        </is>
      </c>
      <c r="G10" s="13" t="inlineStr">
        <is>
          <t>Arthur</t>
        </is>
      </c>
      <c r="H10" s="13" t="inlineStr">
        <is>
          <t>Feito</t>
        </is>
      </c>
      <c r="I10" s="4" t="inlineStr">
        <is>
          <t>Nome padronizado com C em 15/09: TΞCHNE Talks - 2ª Edição. Foto: logo do TECHNE Talks.</t>
        </is>
      </c>
    </row>
    <row r="11">
      <c r="A11" s="4" t="n">
        <v>7</v>
      </c>
      <c r="B11" s="4" t="inlineStr">
        <is>
          <t>1 · Lançamento</t>
        </is>
      </c>
      <c r="C11" s="4" t="inlineStr">
        <is>
          <t>Restringir o grupo a mensagens de admins</t>
        </is>
      </c>
      <c r="D11" s="4" t="inlineStr">
        <is>
          <t>Antes do disparo</t>
        </is>
      </c>
      <c r="E11" s="5" t="n">
        <v>46279</v>
      </c>
      <c r="F11" s="4" t="inlineStr">
        <is>
          <t>WhatsApp</t>
        </is>
      </c>
      <c r="G11" s="13" t="inlineStr">
        <is>
          <t>Arthur</t>
        </is>
      </c>
      <c r="H11" s="13" t="inlineStr">
        <is>
          <t>Feito</t>
        </is>
      </c>
      <c r="I11" s="4" t="inlineStr">
        <is>
          <t>Temporário e anunciado na mensagem de lançamento. Reabertura na peça nº 13.</t>
        </is>
      </c>
    </row>
    <row r="12">
      <c r="A12" s="4" t="n">
        <v>8</v>
      </c>
      <c r="B12" s="4" t="inlineStr">
        <is>
          <t>1 · Lançamento</t>
        </is>
      </c>
      <c r="C12" s="4" t="inlineStr">
        <is>
          <t>Mensagem de lançamento + peças 1 e 2 + link de inscrição</t>
        </is>
      </c>
      <c r="D12" s="4" t="inlineStr">
        <is>
          <t>Grupo preparado</t>
        </is>
      </c>
      <c r="E12" s="5" t="n">
        <v>46279</v>
      </c>
      <c r="F12" s="4" t="inlineStr">
        <is>
          <t>WhatsApp</t>
        </is>
      </c>
      <c r="G12" s="13" t="inlineStr">
        <is>
          <t>Arthur</t>
        </is>
      </c>
      <c r="H12" s="13" t="inlineStr">
        <is>
          <t>Feito</t>
        </is>
      </c>
      <c r="I12" s="4" t="inlineStr">
        <is>
          <t>Abre as inscrições. Os palestrantes não foram anunciados.</t>
        </is>
      </c>
    </row>
    <row r="13">
      <c r="A13" s="4" t="n">
        <v>9</v>
      </c>
      <c r="B13" s="4" t="inlineStr">
        <is>
          <t>2 · Palestrantes</t>
        </is>
      </c>
      <c r="C13" s="4" t="inlineStr">
        <is>
          <t>Enviar o questionário a VIRUS e Coatio</t>
        </is>
      </c>
      <c r="D13" s="4" t="inlineStr">
        <is>
          <t>Formulário aprovado</t>
        </is>
      </c>
      <c r="E13" s="5" t="n">
        <v>46279</v>
      </c>
      <c r="F13" s="4" t="inlineStr">
        <is>
          <t>Privado</t>
        </is>
      </c>
      <c r="G13" s="13" t="inlineStr">
        <is>
          <t>Arthur</t>
        </is>
      </c>
      <c r="H13" s="13" t="inlineStr">
        <is>
          <t>Feito</t>
        </is>
      </c>
      <c r="I13" s="4" t="n"/>
    </row>
    <row r="14">
      <c r="A14" s="4" t="n">
        <v>13</v>
      </c>
      <c r="B14" s="4" t="inlineStr">
        <is>
          <t>3 · Sustentação</t>
        </is>
      </c>
      <c r="C14" s="4" t="inlineStr">
        <is>
          <t>Reabrir o grupo para todos</t>
        </is>
      </c>
      <c r="D14" s="4" t="inlineStr">
        <is>
          <t>Primeira rodada absorvida</t>
        </is>
      </c>
      <c r="E14" s="5" t="n">
        <v>46281</v>
      </c>
      <c r="F14" s="4" t="inlineStr">
        <is>
          <t>WhatsApp</t>
        </is>
      </c>
      <c r="G14" s="13" t="inlineStr">
        <is>
          <t>Arthur</t>
        </is>
      </c>
      <c r="H14" s="13" t="inlineStr">
        <is>
          <t>Feito</t>
        </is>
      </c>
      <c r="I14" s="4" t="inlineStr">
        <is>
          <t>Grupo reaberto para todos (confirmado em 12/10).</t>
        </is>
      </c>
    </row>
    <row r="15">
      <c r="A15" s="4" t="n">
        <v>10</v>
      </c>
      <c r="B15" s="4" t="inlineStr">
        <is>
          <t>2 · Palestrantes</t>
        </is>
      </c>
      <c r="C15" s="4" t="inlineStr">
        <is>
          <t>Pedir aos palestrantes que se inscrevam no formulário</t>
        </is>
      </c>
      <c r="D15" s="4" t="inlineStr">
        <is>
          <t>Questionário enviado</t>
        </is>
      </c>
      <c r="E15" s="5" t="n">
        <v>46284</v>
      </c>
      <c r="F15" s="4" t="inlineStr">
        <is>
          <t>Privado</t>
        </is>
      </c>
      <c r="G15" s="13" t="inlineStr">
        <is>
          <t>Arthur</t>
        </is>
      </c>
      <c r="H15" s="13" t="inlineStr">
        <is>
          <t>Feito</t>
        </is>
      </c>
      <c r="I15" s="4" t="inlineStr">
        <is>
          <t>Arthur, Henrique, Coatio e Jonathan inscritos em 12/10 (DEC-018).</t>
        </is>
      </c>
    </row>
    <row r="16">
      <c r="A16" s="4" t="n">
        <v>11</v>
      </c>
      <c r="B16" s="4" t="inlineStr">
        <is>
          <t>1 · Lançamento</t>
        </is>
      </c>
      <c r="C16" s="4" t="inlineStr">
        <is>
          <t>Combinar com Junim Reis o registro do dia (fotos e vídeos)</t>
        </is>
      </c>
      <c r="D16" s="4" t="inlineStr">
        <is>
          <t>Peça 1 publicada</t>
        </is>
      </c>
      <c r="E16" s="5" t="n">
        <v>46286</v>
      </c>
      <c r="F16" s="4" t="inlineStr">
        <is>
          <t>Privado</t>
        </is>
      </c>
      <c r="G16" s="13" t="inlineStr">
        <is>
          <t>Henrique</t>
        </is>
      </c>
      <c r="H16" s="13" t="inlineStr">
        <is>
          <t>Feito</t>
        </is>
      </c>
      <c r="I16" s="4" t="inlineStr">
        <is>
          <t>Junim Reis confirmado em 12/10 (DEC-018). Substitui Guilherme Reis, que sai do plano.</t>
        </is>
      </c>
    </row>
    <row r="17">
      <c r="A17" s="4" t="n">
        <v>12</v>
      </c>
      <c r="B17" s="4" t="inlineStr">
        <is>
          <t>1 · Lançamento</t>
        </is>
      </c>
      <c r="C17" s="4" t="inlineStr">
        <is>
          <t>Adicionar os convidados ao grupo</t>
        </is>
      </c>
      <c r="D17" s="4" t="inlineStr">
        <is>
          <t>Lançamento feito</t>
        </is>
      </c>
      <c r="E17" s="5" t="n">
        <v>46286</v>
      </c>
      <c r="F17" s="4" t="inlineStr">
        <is>
          <t>WhatsApp</t>
        </is>
      </c>
      <c r="G17" s="13" t="inlineStr">
        <is>
          <t>Arthur + Henrique</t>
        </is>
      </c>
      <c r="H17" s="13" t="inlineStr">
        <is>
          <t>Feito</t>
        </is>
      </c>
      <c r="I17" s="4" t="inlineStr">
        <is>
          <t>Convidados adicionados ao grupo (confirmado em 12/10).</t>
        </is>
      </c>
    </row>
    <row r="18">
      <c r="A18" s="4" t="n">
        <v>14</v>
      </c>
      <c r="B18" s="4" t="inlineStr">
        <is>
          <t>2 · Palestrantes</t>
        </is>
      </c>
      <c r="C18" s="4" t="inlineStr">
        <is>
          <t>Cobrar título, sinopse e minibio</t>
        </is>
      </c>
      <c r="D18" s="4" t="inlineStr">
        <is>
          <t>Inscrição confirmada</t>
        </is>
      </c>
      <c r="E18" s="5" t="n">
        <v>46286</v>
      </c>
      <c r="F18" s="4" t="inlineStr">
        <is>
          <t>Privado</t>
        </is>
      </c>
      <c r="G18" s="13" t="inlineStr">
        <is>
          <t>Arthur</t>
        </is>
      </c>
      <c r="H18" s="13" t="inlineStr">
        <is>
          <t>Feito</t>
        </is>
      </c>
      <c r="I18" s="4" t="inlineStr">
        <is>
          <t>Coatio respondeu em 23/09. Jonathan, que substitui o VIRUS, tem os dados com Arthur (12/10, DEC-018).</t>
        </is>
      </c>
    </row>
    <row r="19">
      <c r="A19" s="4" t="n">
        <v>18</v>
      </c>
      <c r="B19" s="4" t="inlineStr">
        <is>
          <t>0 · Preparação</t>
        </is>
      </c>
      <c r="C19" s="4" t="inlineStr">
        <is>
          <t>Produzir a arte da peça 4 (palestra 2)</t>
        </is>
      </c>
      <c r="D19" s="4" t="inlineStr">
        <is>
          <t>Título recebido</t>
        </is>
      </c>
      <c r="E19" s="5" t="n">
        <v>46289</v>
      </c>
      <c r="F19" s="4" t="inlineStr">
        <is>
          <t>—</t>
        </is>
      </c>
      <c r="G19" s="13" t="inlineStr">
        <is>
          <t>Arthur</t>
        </is>
      </c>
      <c r="H19" s="13" t="inlineStr">
        <is>
          <t>Feito</t>
        </is>
      </c>
      <c r="I19" s="4" t="inlineStr">
        <is>
          <t>Coatio aprovou o título curto e a foto tratada (DEC-018).</t>
        </is>
      </c>
    </row>
    <row r="20">
      <c r="A20" s="4" t="n">
        <v>35</v>
      </c>
      <c r="B20" s="4" t="inlineStr">
        <is>
          <t>2 · Palestrantes</t>
        </is>
      </c>
      <c r="C20" s="4" t="inlineStr">
        <is>
          <t>Confirmar com o Coatio o título curto, a foto tratada, os prazos e o plano B</t>
        </is>
      </c>
      <c r="D20" s="4" t="inlineStr">
        <is>
          <t>Respostas recebidas</t>
        </is>
      </c>
      <c r="E20" s="5" t="n">
        <v>46289</v>
      </c>
      <c r="F20" s="4" t="inlineStr">
        <is>
          <t>Privado</t>
        </is>
      </c>
      <c r="G20" s="13" t="inlineStr">
        <is>
          <t>Arthur</t>
        </is>
      </c>
      <c r="H20" s="13" t="inlineStr">
        <is>
          <t>Feito</t>
        </is>
      </c>
      <c r="I20" s="4" t="inlineStr">
        <is>
          <t>Coatio aprovou o título curto e a foto tratada (12/10, DEC-018).</t>
        </is>
      </c>
    </row>
    <row r="21">
      <c r="A21" s="4" t="n">
        <v>19</v>
      </c>
      <c r="B21" s="4" t="inlineStr">
        <is>
          <t>3 · Sustentação</t>
        </is>
      </c>
      <c r="C21" s="4" t="inlineStr">
        <is>
          <t>Anúncio do convidado confirmado (Coatio), com a peça 4</t>
        </is>
      </c>
      <c r="D21" s="4" t="inlineStr">
        <is>
          <t>Arte pronta</t>
        </is>
      </c>
      <c r="E21" s="5" t="n">
        <v>46290</v>
      </c>
      <c r="F21" s="4" t="inlineStr">
        <is>
          <t>WhatsApp</t>
        </is>
      </c>
      <c r="G21" s="13" t="inlineStr">
        <is>
          <t>Arthur</t>
        </is>
      </c>
      <c r="H21" s="13" t="inlineStr">
        <is>
          <t>Feito</t>
        </is>
      </c>
      <c r="I21" s="4" t="inlineStr">
        <is>
          <t>Publicado: Coatio anunciado como convidado confirmado (DEC-017). Confirmado por Arthur em 12/10.</t>
        </is>
      </c>
    </row>
    <row r="22">
      <c r="A22" s="4" t="n">
        <v>36</v>
      </c>
      <c r="B22" s="4" t="inlineStr">
        <is>
          <t>2 · Palestrantes</t>
        </is>
      </c>
      <c r="C22" s="4" t="inlineStr">
        <is>
          <t>Cobrar o questionário do VIRUS e esclarecer "uso concorrente"</t>
        </is>
      </c>
      <c r="D22" s="4" t="inlineStr">
        <is>
          <t>Prazo vencido em 21/09</t>
        </is>
      </c>
      <c r="E22" s="5" t="n">
        <v>46291</v>
      </c>
      <c r="F22" s="4" t="inlineStr">
        <is>
          <t>Privado</t>
        </is>
      </c>
      <c r="G22" s="13" t="inlineStr">
        <is>
          <t>Arthur</t>
        </is>
      </c>
      <c r="H22" s="13" t="inlineStr">
        <is>
          <t>Não se aplica</t>
        </is>
      </c>
      <c r="I22" s="4" t="inlineStr">
        <is>
          <t>O VIRUS foi substituído pelo Jonathan (DEC-018).</t>
        </is>
      </c>
    </row>
    <row r="23">
      <c r="A23" s="4" t="n">
        <v>17</v>
      </c>
      <c r="B23" s="4" t="inlineStr">
        <is>
          <t>2 · Palestrantes</t>
        </is>
      </c>
      <c r="C23" s="4" t="inlineStr">
        <is>
          <t>Cobrar o rascunho inicial do material de apresentação</t>
        </is>
      </c>
      <c r="D23" s="4" t="inlineStr">
        <is>
          <t>Título recebido</t>
        </is>
      </c>
      <c r="E23" s="5" t="n">
        <v>46293</v>
      </c>
      <c r="F23" s="4" t="inlineStr">
        <is>
          <t>Privado</t>
        </is>
      </c>
      <c r="G23" s="13" t="inlineStr">
        <is>
          <t>Arthur</t>
        </is>
      </c>
      <c r="H23" s="13" t="inlineStr">
        <is>
          <t>Feito</t>
        </is>
      </c>
      <c r="I23" s="4" t="inlineStr">
        <is>
          <t>Os dois palestrantes entregaram o rascunho (12/10).</t>
        </is>
      </c>
    </row>
    <row r="24">
      <c r="A24" s="4" t="n">
        <v>20</v>
      </c>
      <c r="B24" s="4" t="inlineStr">
        <is>
          <t>2 · Palestrantes</t>
        </is>
      </c>
      <c r="C24" s="4" t="inlineStr">
        <is>
          <t>Combinar o ensaio e cobrar a gravação com o roteiro</t>
        </is>
      </c>
      <c r="D24" s="4" t="inlineStr">
        <is>
          <t>Material em rascunho</t>
        </is>
      </c>
      <c r="E24" s="5" t="n">
        <v>46298</v>
      </c>
      <c r="F24" s="4" t="inlineStr">
        <is>
          <t>Privado</t>
        </is>
      </c>
      <c r="G24" s="13" t="inlineStr">
        <is>
          <t>Arthur</t>
        </is>
      </c>
      <c r="H24" s="13" t="inlineStr">
        <is>
          <t>Feito</t>
        </is>
      </c>
      <c r="I24" s="4" t="inlineStr">
        <is>
          <t>Ensaio feito e gravações entregues (12/10).</t>
        </is>
      </c>
    </row>
    <row r="25">
      <c r="A25" s="4" t="n">
        <v>21</v>
      </c>
      <c r="B25" s="4" t="inlineStr">
        <is>
          <t>0 · Preparação</t>
        </is>
      </c>
      <c r="C25" s="4" t="inlineStr">
        <is>
          <t>Produzir a arte da peça 5 (últimas vagas)</t>
        </is>
      </c>
      <c r="D25" s="4" t="inlineStr">
        <is>
          <t>Vagas em queda</t>
        </is>
      </c>
      <c r="E25" s="5" t="n">
        <v>46300</v>
      </c>
      <c r="F25" s="4" t="inlineStr">
        <is>
          <t>—</t>
        </is>
      </c>
      <c r="G25" s="13" t="inlineStr">
        <is>
          <t>Arthur</t>
        </is>
      </c>
      <c r="H25" s="13" t="inlineStr">
        <is>
          <t>Não se aplica</t>
        </is>
      </c>
      <c r="I25" s="4" t="inlineStr">
        <is>
          <t>Absorvida pelo aviso de encerramento, nº 23 (DEC-018).</t>
        </is>
      </c>
    </row>
    <row r="26">
      <c r="A26" s="4" t="n">
        <v>22</v>
      </c>
      <c r="B26" s="4" t="inlineStr">
        <is>
          <t>3 · Sustentação</t>
        </is>
      </c>
      <c r="C26" s="4" t="inlineStr">
        <is>
          <t>Últimas vagas, com a peça 5</t>
        </is>
      </c>
      <c r="D26" s="4" t="inlineStr">
        <is>
          <t>Arte pronta</t>
        </is>
      </c>
      <c r="E26" s="5" t="n">
        <v>46301</v>
      </c>
      <c r="F26" s="4" t="inlineStr">
        <is>
          <t>WhatsApp</t>
        </is>
      </c>
      <c r="G26" s="13" t="inlineStr">
        <is>
          <t>Arthur</t>
        </is>
      </c>
      <c r="H26" s="13" t="inlineStr">
        <is>
          <t>Não se aplica</t>
        </is>
      </c>
      <c r="I26" s="4" t="inlineStr">
        <is>
          <t>Absorvida pelo aviso de encerramento, nº 23 (DEC-018).</t>
        </is>
      </c>
    </row>
    <row r="27">
      <c r="A27" s="4" t="n">
        <v>15</v>
      </c>
      <c r="B27" s="4" t="inlineStr">
        <is>
          <t>0 · Preparação</t>
        </is>
      </c>
      <c r="C27" s="4" t="inlineStr">
        <is>
          <t>Produzir a arte da peça 3 (palestra 1, Jonathan)</t>
        </is>
      </c>
      <c r="D27" s="4" t="inlineStr">
        <is>
          <t>Título recebido</t>
        </is>
      </c>
      <c r="E27" s="5" t="n">
        <v>46307</v>
      </c>
      <c r="F27" s="4" t="inlineStr">
        <is>
          <t>—</t>
        </is>
      </c>
      <c r="G27" s="13" t="inlineStr">
        <is>
          <t>Arthur</t>
        </is>
      </c>
      <c r="H27" s="13" t="inlineStr">
        <is>
          <t>Feito</t>
        </is>
      </c>
      <c r="I27" s="4" t="inlineStr">
        <is>
          <t>Arte e texto criados por Arthur; peça 3 publicada (confirmado em 14/10, DEC-020).</t>
        </is>
      </c>
    </row>
    <row r="28">
      <c r="A28" s="4" t="n">
        <v>16</v>
      </c>
      <c r="B28" s="4" t="inlineStr">
        <is>
          <t>3 · Sustentação</t>
        </is>
      </c>
      <c r="C28" s="4" t="inlineStr">
        <is>
          <t>Anúncio da palestra 1 (Jonathan), com a peça 3</t>
        </is>
      </c>
      <c r="D28" s="4" t="inlineStr">
        <is>
          <t>Arte pronta</t>
        </is>
      </c>
      <c r="E28" s="5" t="n">
        <v>46307</v>
      </c>
      <c r="F28" s="4" t="inlineStr">
        <is>
          <t>WhatsApp</t>
        </is>
      </c>
      <c r="G28" s="13" t="inlineStr">
        <is>
          <t>Arthur</t>
        </is>
      </c>
      <c r="H28" s="13" t="inlineStr">
        <is>
          <t>Feito</t>
        </is>
      </c>
      <c r="I28" s="4" t="inlineStr">
        <is>
          <t>Anúncio da palestra 1 enviado, em disparo separado do aviso de encerramento (14/10, DEC-020).</t>
        </is>
      </c>
    </row>
    <row r="29">
      <c r="A29" s="4" t="n">
        <v>23</v>
      </c>
      <c r="B29" s="4" t="inlineStr">
        <is>
          <t>3 · Sustentação</t>
        </is>
      </c>
      <c r="C29" s="4" t="inlineStr">
        <is>
          <t>Aviso de encerramento das inscrições</t>
        </is>
      </c>
      <c r="D29" s="4" t="inlineStr">
        <is>
          <t>Data-limite</t>
        </is>
      </c>
      <c r="E29" s="5" t="n">
        <v>46307</v>
      </c>
      <c r="F29" s="4" t="inlineStr">
        <is>
          <t>WhatsApp</t>
        </is>
      </c>
      <c r="G29" s="13" t="inlineStr">
        <is>
          <t>Arthur + Henrique</t>
        </is>
      </c>
      <c r="H29" s="13" t="inlineStr">
        <is>
          <t>Feito</t>
        </is>
      </c>
      <c r="I29" s="4" t="inlineStr">
        <is>
          <t>Aviso de encerramento enviado (14/10, DEC-020).</t>
        </is>
      </c>
    </row>
    <row r="30">
      <c r="A30" s="4" t="n">
        <v>24</v>
      </c>
      <c r="B30" s="4" t="inlineStr">
        <is>
          <t>4 · Semana do evento</t>
        </is>
      </c>
      <c r="C30" s="4" t="inlineStr">
        <is>
          <t>Confirmar presença de cada inscrito</t>
        </is>
      </c>
      <c r="D30" s="4" t="inlineStr">
        <is>
          <t>Inscrições encerradas</t>
        </is>
      </c>
      <c r="E30" s="5" t="n">
        <v>46307</v>
      </c>
      <c r="F30" s="4" t="inlineStr">
        <is>
          <t>Privado</t>
        </is>
      </c>
      <c r="G30" s="13" t="inlineStr">
        <is>
          <t>Arthur + Henrique</t>
        </is>
      </c>
      <c r="H30" s="13" t="inlineStr">
        <is>
          <t>Em andamento</t>
        </is>
      </c>
      <c r="I30" s="4" t="inlineStr">
        <is>
          <t>Mensagem privada a cada inscrito (DEC-018). Usar o check-in digital para ver quem não respondeu.</t>
        </is>
      </c>
    </row>
    <row r="31">
      <c r="A31" s="4" t="n">
        <v>37</v>
      </c>
      <c r="B31" s="4" t="inlineStr">
        <is>
          <t>2 · Palestrantes</t>
        </is>
      </c>
      <c r="C31" s="4" t="inlineStr">
        <is>
          <t>Avisar o Coatio da tela escolhida, projetor ou TV</t>
        </is>
      </c>
      <c r="D31" s="4" t="inlineStr">
        <is>
          <t>Decisão de 27/09</t>
        </is>
      </c>
      <c r="E31" s="5" t="n">
        <v>46309</v>
      </c>
      <c r="F31" s="4" t="inlineStr">
        <is>
          <t>Privado</t>
        </is>
      </c>
      <c r="G31" s="13" t="inlineStr">
        <is>
          <t>Arthur</t>
        </is>
      </c>
      <c r="H31" s="13" t="inlineStr">
        <is>
          <t>A fazer</t>
        </is>
      </c>
      <c r="I31" s="4" t="inlineStr">
        <is>
          <t>A TV é a tela (DEC-021). Texto pronto em DIVULGACAO.md ('Aviso da tela ao Coatio'). Enviar se ainda não saiu.</t>
        </is>
      </c>
    </row>
    <row r="32">
      <c r="A32" s="4" t="n">
        <v>25</v>
      </c>
      <c r="B32" s="4" t="inlineStr">
        <is>
          <t>4 · Semana do evento</t>
        </is>
      </c>
      <c r="C32" s="4" t="inlineStr">
        <is>
          <t>Lembrete final: endereço, horário, o que levar e registro de imagem</t>
        </is>
      </c>
      <c r="D32" s="4" t="inlineStr">
        <is>
          <t>Presença confirmada</t>
        </is>
      </c>
      <c r="E32" s="5" t="n">
        <v>46310</v>
      </c>
      <c r="F32" s="4" t="inlineStr">
        <is>
          <t>Privado</t>
        </is>
      </c>
      <c r="G32" s="13" t="inlineStr">
        <is>
          <t>Arthur</t>
        </is>
      </c>
      <c r="H32" s="13" t="inlineStr">
        <is>
          <t>A fazer</t>
        </is>
      </c>
      <c r="I32" s="4" t="inlineStr">
        <is>
          <t>Arte com cronograma no grupo e texto em docs/evento/DIVULGACAO.md ('Lembrete final no grupo'). Enviar se ainda não saiu.</t>
        </is>
      </c>
    </row>
    <row r="33">
      <c r="A33" s="4" t="n">
        <v>26</v>
      </c>
      <c r="B33" s="4" t="inlineStr">
        <is>
          <t>4 · Semana do evento</t>
        </is>
      </c>
      <c r="C33" s="4" t="inlineStr">
        <is>
          <t>Confirmar roteiro e horários com os palestrantes</t>
        </is>
      </c>
      <c r="D33" s="4" t="inlineStr">
        <is>
          <t>Ensaio feito</t>
        </is>
      </c>
      <c r="E33" s="5" t="n">
        <v>46310</v>
      </c>
      <c r="F33" s="4" t="inlineStr">
        <is>
          <t>Privado</t>
        </is>
      </c>
      <c r="G33" s="13" t="inlineStr">
        <is>
          <t>Arthur</t>
        </is>
      </c>
      <c r="H33" s="13" t="inlineStr">
        <is>
          <t>Feito</t>
        </is>
      </c>
      <c r="I33" s="4" t="inlineStr">
        <is>
          <t>Roteiro e horários confirmados com os palestrantes (14/10, DEC-020).</t>
        </is>
      </c>
    </row>
    <row r="34">
      <c r="A34" s="4" t="n">
        <v>38</v>
      </c>
      <c r="B34" s="4" t="inlineStr">
        <is>
          <t>4 · Semana do evento</t>
        </is>
      </c>
      <c r="C34" s="4" t="inlineStr">
        <is>
          <t>Lembrete aos palestrantes: chegar até 12h45 e testar o equipamento</t>
        </is>
      </c>
      <c r="D34" s="4" t="inlineStr">
        <is>
          <t>Roteiro confirmado</t>
        </is>
      </c>
      <c r="E34" s="5" t="n">
        <v>46311</v>
      </c>
      <c r="F34" s="4" t="inlineStr">
        <is>
          <t>Privado</t>
        </is>
      </c>
      <c r="G34" s="13" t="inlineStr">
        <is>
          <t>Arthur</t>
        </is>
      </c>
      <c r="H34" s="13" t="inlineStr">
        <is>
          <t>A fazer</t>
        </is>
      </c>
      <c r="I34" s="4" t="inlineStr">
        <is>
          <t>Testes às 13h30 (Jonathan) e 13h45 (Coatio). Texto em docs/evento/DIVULGACAO.md (DEC-021).</t>
        </is>
      </c>
    </row>
    <row r="35">
      <c r="A35" s="4" t="n">
        <v>27</v>
      </c>
      <c r="B35" s="4" t="inlineStr">
        <is>
          <t>5 · Dia</t>
        </is>
      </c>
      <c r="C35" s="4" t="inlineStr">
        <is>
          <t>Bom dia com endereço e horário de chegada</t>
        </is>
      </c>
      <c r="D35" s="4" t="inlineStr">
        <is>
          <t>Manhã do evento</t>
        </is>
      </c>
      <c r="E35" s="5" t="n">
        <v>46312</v>
      </c>
      <c r="F35" s="4" t="inlineStr">
        <is>
          <t>WhatsApp</t>
        </is>
      </c>
      <c r="G35" s="13" t="inlineStr">
        <is>
          <t>Arthur</t>
        </is>
      </c>
      <c r="H35" s="13" t="inlineStr">
        <is>
          <t>A fazer</t>
        </is>
      </c>
      <c r="I35" s="4" t="n"/>
    </row>
    <row r="36">
      <c r="A36" s="4" t="n">
        <v>28</v>
      </c>
      <c r="B36" s="4" t="inlineStr">
        <is>
          <t>5 · Dia</t>
        </is>
      </c>
      <c r="C36" s="4" t="inlineStr">
        <is>
          <t>Divulgar o QR code do quiz e conduzir o sorteio</t>
        </is>
      </c>
      <c r="D36" s="4" t="inlineStr">
        <is>
          <t>Mesa 360</t>
        </is>
      </c>
      <c r="E36" s="5" t="n">
        <v>46312</v>
      </c>
      <c r="F36" s="4" t="inlineStr">
        <is>
          <t>No local</t>
        </is>
      </c>
      <c r="G36" s="13" t="inlineStr">
        <is>
          <t>Arthur + Henrique</t>
        </is>
      </c>
      <c r="H36" s="13" t="inlineStr">
        <is>
          <t>A fazer</t>
        </is>
      </c>
      <c r="I36" s="4" t="inlineStr">
        <is>
          <t>docs/evento/SORTEIO_E_FEEDBACK.md</t>
        </is>
      </c>
    </row>
    <row r="37">
      <c r="A37" s="4" t="n">
        <v>29</v>
      </c>
      <c r="B37" s="4" t="inlineStr">
        <is>
          <t>5 · Dia</t>
        </is>
      </c>
      <c r="C37" s="4" t="inlineStr">
        <is>
          <t>Divulgar o QR code do feedback no encerramento</t>
        </is>
      </c>
      <c r="D37" s="4" t="inlineStr">
        <is>
          <t>Encerramento</t>
        </is>
      </c>
      <c r="E37" s="5" t="n">
        <v>46312</v>
      </c>
      <c r="F37" s="4" t="inlineStr">
        <is>
          <t>No local</t>
        </is>
      </c>
      <c r="G37" s="13" t="inlineStr">
        <is>
          <t>Arthur + Henrique</t>
        </is>
      </c>
      <c r="H37" s="13" t="inlineStr">
        <is>
          <t>A fazer</t>
        </is>
      </c>
      <c r="I37" s="4" t="inlineStr">
        <is>
          <t>Na despedida, depois das 17h, o QR code do feedback. O Pix fica dentro do formulário, sem QR na tela (DEC-021).</t>
        </is>
      </c>
    </row>
    <row r="38">
      <c r="A38" s="4" t="n">
        <v>30</v>
      </c>
      <c r="B38" s="4" t="inlineStr">
        <is>
          <t>6 · Pós-evento</t>
        </is>
      </c>
      <c r="C38" s="4" t="inlineStr">
        <is>
          <t>Agradecimento no grupo, no mesmo dia</t>
        </is>
      </c>
      <c r="D38" s="4" t="inlineStr">
        <is>
          <t>Fim do evento</t>
        </is>
      </c>
      <c r="E38" s="5" t="n">
        <v>46312</v>
      </c>
      <c r="F38" s="4" t="inlineStr">
        <is>
          <t>WhatsApp</t>
        </is>
      </c>
      <c r="G38" s="13" t="inlineStr">
        <is>
          <t>Arthur</t>
        </is>
      </c>
      <c r="H38" s="13" t="inlineStr">
        <is>
          <t>A fazer</t>
        </is>
      </c>
      <c r="I38" s="4" t="n"/>
    </row>
    <row r="39">
      <c r="A39" s="4" t="n">
        <v>31</v>
      </c>
      <c r="B39" s="4" t="inlineStr">
        <is>
          <t>6 · Pós-evento</t>
        </is>
      </c>
      <c r="C39" s="4" t="inlineStr">
        <is>
          <t>Publicar fotos e materiais autorizados</t>
        </is>
      </c>
      <c r="D39" s="4" t="inlineStr">
        <is>
          <t>Autorizações conferidas</t>
        </is>
      </c>
      <c r="E39" s="5" t="n">
        <v>46315</v>
      </c>
      <c r="F39" s="4" t="inlineStr">
        <is>
          <t>WhatsApp</t>
        </is>
      </c>
      <c r="G39" s="13" t="inlineStr">
        <is>
          <t>Arthur + Henrique</t>
        </is>
      </c>
      <c r="H39" s="13" t="inlineStr">
        <is>
          <t>A fazer</t>
        </is>
      </c>
      <c r="I39" s="4" t="inlineStr">
        <is>
          <t>Só o que palestrantes e participantes autorizaram.</t>
        </is>
      </c>
    </row>
    <row r="40">
      <c r="A40" s="4" t="n">
        <v>32</v>
      </c>
      <c r="B40" s="4" t="inlineStr">
        <is>
          <t>6 · Pós-evento</t>
        </is>
      </c>
      <c r="C40" s="4" t="inlineStr">
        <is>
          <t>Reenviar o feedback a quem não respondeu</t>
        </is>
      </c>
      <c r="D40" s="4" t="inlineStr">
        <is>
          <t>Respostas paradas</t>
        </is>
      </c>
      <c r="E40" s="5" t="n">
        <v>46315</v>
      </c>
      <c r="F40" s="4" t="inlineStr">
        <is>
          <t>Privado</t>
        </is>
      </c>
      <c r="G40" s="13" t="inlineStr">
        <is>
          <t>Arthur</t>
        </is>
      </c>
      <c r="H40" s="13" t="inlineStr">
        <is>
          <t>A fazer</t>
        </is>
      </c>
      <c r="I40" s="4" t="n"/>
    </row>
    <row r="41">
      <c r="A41" s="4" t="n">
        <v>33</v>
      </c>
      <c r="B41" s="4" t="inlineStr">
        <is>
          <t>6 · Pós-evento</t>
        </is>
      </c>
      <c r="C41" s="4" t="inlineStr">
        <is>
          <t>Resultado do feedback e convite para a próxima edição</t>
        </is>
      </c>
      <c r="D41" s="4" t="inlineStr">
        <is>
          <t>Feedback consolidado</t>
        </is>
      </c>
      <c r="E41" s="5" t="n">
        <v>46319</v>
      </c>
      <c r="F41" s="4" t="inlineStr">
        <is>
          <t>WhatsApp</t>
        </is>
      </c>
      <c r="G41" s="13" t="inlineStr">
        <is>
          <t>Arthur + Henrique</t>
        </is>
      </c>
      <c r="H41" s="13" t="inlineStr">
        <is>
          <t>A fazer</t>
        </is>
      </c>
      <c r="I41" s="4" t="n"/>
    </row>
    <row r="42">
      <c r="A42" s="4" t="n">
        <v>34</v>
      </c>
      <c r="B42" s="4" t="inlineStr">
        <is>
          <t>6 · Pós-evento</t>
        </is>
      </c>
      <c r="C42" s="4" t="inlineStr">
        <is>
          <t>Registrar os aprendizados de comunicação da edição</t>
        </is>
      </c>
      <c r="D42" s="4" t="inlineStr">
        <is>
          <t>Contas fechadas</t>
        </is>
      </c>
      <c r="E42" s="5" t="n">
        <v>46319</v>
      </c>
      <c r="F42" s="4" t="inlineStr">
        <is>
          <t>Repositório</t>
        </is>
      </c>
      <c r="G42" s="13" t="inlineStr">
        <is>
          <t>Arthur + Henrique</t>
        </is>
      </c>
      <c r="H42" s="13" t="inlineStr">
        <is>
          <t>A fazer</t>
        </is>
      </c>
      <c r="I42" s="4" t="inlineStr">
        <is>
          <t>O que mudar no passo a passo da próxima edição.</t>
        </is>
      </c>
    </row>
  </sheetData>
  <autoFilter ref="A4:I42"/>
  <conditionalFormatting sqref="A5:I42">
    <cfRule type="expression" priority="1" dxfId="3">
      <formula>$H5="Feito"</formula>
    </cfRule>
    <cfRule type="expression" priority="2" dxfId="2">
      <formula>$H5="Não se aplica"</formula>
    </cfRule>
    <cfRule type="expression" priority="3" dxfId="1">
      <formula>AND($E5&lt;TODAY(),$H5&lt;&gt;"Feito",$H5&lt;&gt;"Não se aplica")</formula>
    </cfRule>
    <cfRule type="expression" priority="4" dxfId="0">
      <formula>$H5="Aguardando aprovação"</formula>
    </cfRule>
  </conditionalFormatting>
  <dataValidations count="1">
    <dataValidation sqref="H5:H42" showDropDown="0" showInputMessage="0" showErrorMessage="0" allowBlank="1" type="list">
      <formula1>"A fazer,Em andamento,Feito,Aguardando aprovação,Não se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Normal="100" workbookViewId="0">
      <pane ySplit="4" topLeftCell="A5" activePane="bottomLeft" state="frozen"/>
      <selection pane="bottomLeft" activeCell="D21" sqref="D21"/>
    </sheetView>
  </sheetViews>
  <sheetFormatPr baseColWidth="8" defaultRowHeight="15"/>
  <cols>
    <col width="34.42578125" customWidth="1" min="1" max="1"/>
    <col width="6" bestFit="1" customWidth="1" min="2" max="2"/>
    <col width="8.42578125" bestFit="1" customWidth="1" min="3" max="3"/>
    <col width="29.85546875" bestFit="1" customWidth="1" min="4" max="4"/>
    <col width="17" bestFit="1" customWidth="1" min="5" max="5"/>
    <col width="79" bestFit="1" customWidth="1" min="6" max="6"/>
  </cols>
  <sheetData>
    <row r="1" ht="18.75" customHeight="1">
      <c r="A1" s="17" t="inlineStr">
        <is>
          <t>Roteiro do dia — 17/10</t>
        </is>
      </c>
    </row>
    <row r="2" ht="30" customHeight="1">
      <c r="A2" s="18" t="inlineStr">
        <is>
          <t>Equipe arruma o espaço antes das 10h30 e desmonta depois das 17h.</t>
        </is>
      </c>
    </row>
    <row r="3"/>
    <row r="4">
      <c r="A4" s="3" t="inlineStr">
        <is>
          <t>Início</t>
        </is>
      </c>
      <c r="B4" s="3" t="inlineStr">
        <is>
          <t>Fim</t>
        </is>
      </c>
      <c r="C4" s="3" t="inlineStr">
        <is>
          <t>Minutos</t>
        </is>
      </c>
      <c r="D4" s="3" t="inlineStr">
        <is>
          <t>Bloco</t>
        </is>
      </c>
      <c r="E4" s="3" t="inlineStr">
        <is>
          <t>Responsável</t>
        </is>
      </c>
      <c r="F4" s="3" t="inlineStr">
        <is>
          <t>Operação</t>
        </is>
      </c>
    </row>
    <row r="5">
      <c r="A5" s="6" t="n">
        <v>0.4375</v>
      </c>
      <c r="B5" s="6" t="n">
        <v>0.4583333333333333</v>
      </c>
      <c r="C5">
        <f>ROUND((B5-A5)*1440,0)</f>
        <v/>
      </c>
      <c r="D5" s="4" t="inlineStr">
        <is>
          <t>Chegada</t>
        </is>
      </c>
      <c r="E5" s="4" t="inlineStr">
        <is>
          <t>Arthur + Henrique</t>
        </is>
      </c>
      <c r="F5" s="4" t="inlineStr">
        <is>
          <t>Horário divulgado. Equipe já arrumou o espaço; água disponível. Check-in digital pelo QR code do banner.</t>
        </is>
      </c>
    </row>
    <row r="6" ht="30" customHeight="1">
      <c r="A6" s="6" t="n">
        <v>0.4583333333333333</v>
      </c>
      <c r="B6" s="6" t="n">
        <v>0.5208333333333334</v>
      </c>
      <c r="C6">
        <f>ROUND((B6-A6)*1440,0)</f>
        <v/>
      </c>
      <c r="D6" s="4" t="inlineStr">
        <is>
          <t>Recepção e integração</t>
        </is>
      </c>
      <c r="E6" s="4" t="inlineStr">
        <is>
          <t>Arthur + Henrique</t>
        </is>
      </c>
      <c r="F6" s="4" t="inlineStr">
        <is>
          <t>Check-in, apresentação do dia (cronograma) e dinâmica do amassador de batatas, conduzida por Arthur, para aproximar as pessoas e deixar o ambiente leve e divertido.</t>
        </is>
      </c>
    </row>
    <row r="7" ht="30" customHeight="1">
      <c r="A7" s="6" t="n">
        <v>0.5208333333333334</v>
      </c>
      <c r="B7" s="6" t="n">
        <v>0.5833333333333334</v>
      </c>
      <c r="C7">
        <f>ROUND((B7-A7)*1440,0)</f>
        <v/>
      </c>
      <c r="D7" s="4" t="inlineStr">
        <is>
          <t>Almoço</t>
        </is>
      </c>
      <c r="E7" s="4" t="inlineStr">
        <is>
          <t>Henrique + Arthur</t>
        </is>
      </c>
      <c r="F7" s="4" t="inlineStr">
        <is>
          <t>Agda ajudou no preparo e não estará presente. Testes de equipamento na TV: 13h30 com o Jonathan e 13h45 com o Coatio.</t>
        </is>
      </c>
    </row>
    <row r="8" ht="30" customHeight="1">
      <c r="A8" s="6" t="n">
        <v>0.5833333333333334</v>
      </c>
      <c r="B8" s="6" t="n">
        <v>0.6145833333333334</v>
      </c>
      <c r="C8">
        <f>ROUND((B8-A8)*1440,0)</f>
        <v/>
      </c>
      <c r="D8" s="4" t="inlineStr">
        <is>
          <t>Palestra 1 — Jonathan Moura</t>
        </is>
      </c>
      <c r="E8" s="4" t="inlineStr">
        <is>
          <t>Jonathan Moura</t>
        </is>
      </c>
      <c r="F8" s="4" t="inlineStr">
        <is>
          <t>O Estado da IA em 2026 (State of AI Report 2026). Só slides, sem demonstração; perguntas só ao final. Fotos sim; gravação NÃO autorizada. 30 min de conteúdo + 15 de perguntas.</t>
        </is>
      </c>
    </row>
    <row r="9">
      <c r="A9" s="6" t="n">
        <v>0.6145833333333334</v>
      </c>
      <c r="B9" s="6" t="n">
        <v>0.625</v>
      </c>
      <c r="C9">
        <f>ROUND((B9-A9)*1440,0)</f>
        <v/>
      </c>
      <c r="D9" s="4" t="inlineStr">
        <is>
          <t>Intervalo</t>
        </is>
      </c>
      <c r="E9" s="4" t="inlineStr">
        <is>
          <t>Arthur + Henrique</t>
        </is>
      </c>
      <c r="F9" s="4" t="inlineStr">
        <is>
          <t>Troca de equipamento e preparação da palestra 2.</t>
        </is>
      </c>
    </row>
    <row r="10" ht="30" customHeight="1">
      <c r="A10" s="6" t="n">
        <v>0.625</v>
      </c>
      <c r="B10" s="6" t="n">
        <v>0.65625</v>
      </c>
      <c r="C10">
        <f>ROUND((B10-A10)*1440,0)</f>
        <v/>
      </c>
      <c r="D10" s="4" t="inlineStr">
        <is>
          <t>Palestra 2 — Matheus Coatio</t>
        </is>
      </c>
      <c r="E10" s="4" t="inlineStr">
        <is>
          <t>Coatio</t>
        </is>
      </c>
      <c r="F10" s="4" t="inlineStr">
        <is>
          <t>Bastidores do Caranga, demonstração do piloto na TV (HDMI) e exercício de 2 minutos no fim. Fotos e gravação autorizadas; divulgação pública só com aprovação dele.</t>
        </is>
      </c>
    </row>
    <row r="11">
      <c r="A11" s="6" t="n">
        <v>0.65625</v>
      </c>
      <c r="B11" s="6" t="n">
        <v>0.6770833333333334</v>
      </c>
      <c r="C11">
        <f>ROUND((B11-A11)*1440,0)</f>
        <v/>
      </c>
      <c r="D11" s="4" t="inlineStr">
        <is>
          <t>Lanche</t>
        </is>
      </c>
      <c r="E11" s="4" t="inlineStr">
        <is>
          <t>Henrique</t>
        </is>
      </c>
      <c r="F11" s="4" t="inlineStr">
        <is>
          <t>Embaixo da escada, com café.</t>
        </is>
      </c>
    </row>
    <row r="12" ht="30" customHeight="1">
      <c r="A12" s="6" t="n">
        <v>0.6770833333333334</v>
      </c>
      <c r="B12" s="6" t="n">
        <v>0.7083333333333334</v>
      </c>
      <c r="C12">
        <f>ROUND((B12-A12)*1440,0)</f>
        <v/>
      </c>
      <c r="D12" s="4" t="inlineStr">
        <is>
          <t>Mesa 360, sorteio e fechamento</t>
        </is>
      </c>
      <c r="E12" s="4" t="inlineStr">
        <is>
          <t>Arthur + Henrique</t>
        </is>
      </c>
      <c r="F12" s="4" t="inlineStr">
        <is>
          <t>Sushi 15 min (a IA depois das pessoas), apresentação do Henrique 10, quiz 5, sorteio e resultado 5, fechamento 10 (DEC-021).</t>
        </is>
      </c>
    </row>
    <row r="13" ht="45" customHeight="1">
      <c r="A13" s="6" t="n">
        <v>0.7083333333333334</v>
      </c>
      <c r="B13" s="6" t="n"/>
      <c r="D13" s="4" t="inlineStr">
        <is>
          <t>Despedida</t>
        </is>
      </c>
      <c r="E13" s="4" t="inlineStr">
        <is>
          <t>Arthur + Henrique</t>
        </is>
      </c>
      <c r="F13" s="4" t="inlineStr">
        <is>
          <t>Depois do fim oficial das 17h, informal, para quem quiser ficar. QR code do formulário de feedback; o Pix aparece só dentro do formulário (DEC-021).</t>
        </is>
      </c>
    </row>
    <row r="14">
      <c r="B14" s="7" t="inlineStr">
        <is>
          <t>Total</t>
        </is>
      </c>
      <c r="C14" s="7">
        <f>SUM(C5:C12)</f>
        <v/>
      </c>
    </row>
    <row r="15"/>
    <row r="16">
      <c r="A16" t="inlineStr">
        <is>
          <t>Se atrasar, encurte a Mesa 360; preserve o almoço e as palestras.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130" zoomScaleNormal="130" workbookViewId="0">
      <selection activeCell="D22" sqref="D22"/>
    </sheetView>
  </sheetViews>
  <sheetFormatPr baseColWidth="8" defaultRowHeight="15"/>
  <cols>
    <col width="42" customWidth="1" min="1" max="1"/>
    <col width="14" customWidth="1" min="2" max="3"/>
    <col width="17" customWidth="1" min="4" max="4"/>
    <col width="12" customWidth="1" min="5" max="5"/>
    <col width="45" customWidth="1" min="6" max="6"/>
  </cols>
  <sheetData>
    <row r="1" ht="18.75" customHeight="1">
      <c r="A1" s="1" t="inlineStr">
        <is>
          <t>Orçamento e balanço (R$)</t>
        </is>
      </c>
    </row>
    <row r="2">
      <c r="A2" s="2" t="inlineStr">
        <is>
          <t>R$ 500 é previsão, não teto. Gastem, guardem os comprovantes e fechem o balanço depois do evento.</t>
        </is>
      </c>
    </row>
    <row r="3"/>
    <row r="4">
      <c r="A4" s="3" t="inlineStr">
        <is>
          <t>Categoria</t>
        </is>
      </c>
      <c r="B4" s="3" t="inlineStr">
        <is>
          <t>Previsão</t>
        </is>
      </c>
      <c r="C4" s="3" t="inlineStr">
        <is>
          <t>Gasto real</t>
        </is>
      </c>
      <c r="D4" s="3" t="inlineStr">
        <is>
          <t>Quando gastar</t>
        </is>
      </c>
      <c r="E4" s="3" t="inlineStr">
        <is>
          <t>Pago por</t>
        </is>
      </c>
      <c r="F4" s="3" t="inlineStr">
        <is>
          <t>Comprovante / observação</t>
        </is>
      </c>
    </row>
    <row r="5">
      <c r="A5" t="inlineStr">
        <is>
          <t>Banner</t>
        </is>
      </c>
      <c r="B5" s="8" t="n">
        <v>60</v>
      </c>
      <c r="C5" s="9" t="n">
        <v>69.90000000000001</v>
      </c>
      <c r="D5" t="inlineStr">
        <is>
          <t>Feito (chegou)</t>
        </is>
      </c>
      <c r="E5" s="10" t="n"/>
      <c r="F5" s="10" t="inlineStr">
        <is>
          <t>R$ 54,90 + R$ 15,00 de entrega = R$ 69,90. Previsão R$ 60 (DEC-021). Preencher 'Pago por'.</t>
        </is>
      </c>
    </row>
    <row r="6">
      <c r="A6" t="inlineStr">
        <is>
          <t>Brinde (4 canecas)</t>
        </is>
      </c>
      <c r="B6" s="8" t="n">
        <v>70</v>
      </c>
      <c r="C6" s="9" t="n">
        <v>209</v>
      </c>
      <c r="D6" t="inlineStr">
        <is>
          <t>Feito (retirada 24/09)</t>
        </is>
      </c>
      <c r="E6" s="10" t="n"/>
      <c r="F6" s="10" t="inlineStr">
        <is>
          <t>4 canecas mágicas foscas 325 ml: 2 do sorteio, 1 de Arthur, 1 de Henrique. R$ 52,25 cada. As 4 entram no balanço 50/50 (DEC-020). Preencher 'Pago por'.</t>
        </is>
      </c>
    </row>
    <row r="7">
      <c r="A7" t="inlineStr">
        <is>
          <t>Almoço</t>
        </is>
      </c>
      <c r="B7" s="8" t="n">
        <v>250</v>
      </c>
      <c r="C7" s="9" t="n"/>
      <c r="D7" t="inlineStr">
        <is>
          <t>Depois de 12/10</t>
        </is>
      </c>
      <c r="E7" s="10" t="n"/>
      <c r="F7" s="10" t="n"/>
    </row>
    <row r="8">
      <c r="A8" t="inlineStr">
        <is>
          <t>Lanche</t>
        </is>
      </c>
      <c r="B8" s="8" t="n">
        <v>200</v>
      </c>
      <c r="C8" s="9" t="n"/>
      <c r="D8" t="inlineStr">
        <is>
          <t>Encomendado (valor a lançar)</t>
        </is>
      </c>
      <c r="E8" s="10" t="n"/>
      <c r="F8" s="10" t="inlineStr">
        <is>
          <t>Encomendado para 20 pessoas (14/10). Retirada perto das 15h. Lançar o valor real e quem pagou.</t>
        </is>
      </c>
    </row>
    <row r="9">
      <c r="A9" t="inlineStr">
        <is>
          <t>Bebidas</t>
        </is>
      </c>
      <c r="B9" s="8" t="n">
        <v>70</v>
      </c>
      <c r="C9" s="9" t="n"/>
      <c r="D9" t="inlineStr">
        <is>
          <t>Depois de 12/10</t>
        </is>
      </c>
      <c r="E9" s="10" t="n"/>
      <c r="F9" s="10" t="n"/>
    </row>
    <row r="10">
      <c r="A10" t="inlineStr">
        <is>
          <t>Café</t>
        </is>
      </c>
      <c r="B10" s="8" t="n">
        <v>30</v>
      </c>
      <c r="C10" s="9" t="n"/>
      <c r="D10" t="inlineStr">
        <is>
          <t>Depois de 12/10</t>
        </is>
      </c>
      <c r="E10" s="10" t="n"/>
      <c r="F10" s="10" t="n"/>
    </row>
    <row r="11">
      <c r="A11" s="7" t="inlineStr">
        <is>
          <t>Soma</t>
        </is>
      </c>
      <c r="B11" s="11">
        <f>SUM(B5:B10)</f>
        <v/>
      </c>
      <c r="C11" s="11">
        <f>SUM(C5:C10)</f>
        <v/>
      </c>
    </row>
    <row r="12">
      <c r="B12" s="8" t="n"/>
      <c r="C12" s="8" t="n"/>
    </row>
    <row r="13" ht="18.75" customHeight="1">
      <c r="A13" s="1" t="inlineStr">
        <is>
          <t>Balanço</t>
        </is>
      </c>
      <c r="B13" s="8" t="n"/>
      <c r="C13" s="8" t="n"/>
    </row>
    <row r="14">
      <c r="A14" t="inlineStr">
        <is>
          <t>Previsão da edição</t>
        </is>
      </c>
      <c r="B14" s="8" t="n">
        <v>500</v>
      </c>
      <c r="C14" s="8" t="n"/>
    </row>
    <row r="15">
      <c r="A15" t="inlineStr">
        <is>
          <t>Soma das categorias − previsão</t>
        </is>
      </c>
      <c r="B15" s="8">
        <f>B11-B14</f>
        <v/>
      </c>
      <c r="C15" s="8" t="n"/>
    </row>
    <row r="16">
      <c r="A16" t="inlineStr">
        <is>
          <t>Gasto real total</t>
        </is>
      </c>
      <c r="B16" s="8">
        <f>C11</f>
        <v/>
      </c>
      <c r="C16" s="8" t="n"/>
    </row>
    <row r="17">
      <c r="A17" t="inlineStr">
        <is>
          <t>Pago por Arthur</t>
        </is>
      </c>
      <c r="B17" s="8">
        <f>SUMIF(E5:E10,"Arthur",C5:C10)</f>
        <v/>
      </c>
      <c r="C17" s="8" t="n"/>
    </row>
    <row r="18">
      <c r="A18" t="inlineStr">
        <is>
          <t>Pago por Henrique</t>
        </is>
      </c>
      <c r="B18" s="8">
        <f>SUMIF(E5:E10,"Henrique",C5:C10)</f>
        <v/>
      </c>
      <c r="C18" s="8" t="n"/>
    </row>
    <row r="19">
      <c r="A19" t="inlineStr">
        <is>
          <t>Parte de cada um (metade)</t>
        </is>
      </c>
      <c r="B19" s="8">
        <f>C11/2</f>
        <v/>
      </c>
      <c r="C19" s="8" t="n"/>
    </row>
    <row r="20">
      <c r="A20" t="inlineStr">
        <is>
          <t>Acerto: positivo = Henrique repassa a Arthur</t>
        </is>
      </c>
      <c r="B20" s="8">
        <f>B17-B19</f>
        <v/>
      </c>
    </row>
  </sheetData>
  <dataValidations count="1">
    <dataValidation sqref="E5:E10" showDropDown="0" showInputMessage="0" showErrorMessage="0" allowBlank="1" type="list">
      <formula1>"Arthur,Henrique"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115" zoomScaleNormal="115" workbookViewId="0">
      <selection activeCell="F27" sqref="F27"/>
    </sheetView>
  </sheetViews>
  <sheetFormatPr baseColWidth="8" defaultRowHeight="15"/>
  <cols>
    <col width="34" customWidth="1" min="1" max="1"/>
    <col width="12" customWidth="1" min="2" max="5"/>
    <col width="40" customWidth="1" min="6" max="6"/>
  </cols>
  <sheetData>
    <row r="1" ht="18.75" customHeight="1">
      <c r="A1" s="1" t="inlineStr">
        <is>
          <t>Cardápio por cenário</t>
        </is>
      </c>
    </row>
    <row r="2">
      <c r="A2" s="2" t="inlineStr">
        <is>
          <t>Henrique preenche as quantidades. Compra só depois de 12/10, com o quantitativo confirmado.</t>
        </is>
      </c>
    </row>
    <row r="3"/>
    <row r="4">
      <c r="A4" t="inlineStr">
        <is>
          <t>Quantitativo confirmado em 13/10</t>
        </is>
      </c>
      <c r="B4" s="10" t="n">
        <v>20</v>
      </c>
      <c r="C4" t="inlineStr">
        <is>
          <t>20 inscritos, lotado (DEC-020). Agda não estará presente; o Junim está entre os 20.</t>
        </is>
      </c>
    </row>
    <row r="5">
      <c r="A5" t="inlineStr">
        <is>
          <t>Cenário para a compra</t>
        </is>
      </c>
      <c r="B5">
        <f>IF(B4="","",IF(B4&lt;=11,11,IF(B4&lt;=16,16,20)))</f>
        <v/>
      </c>
    </row>
    <row r="6"/>
    <row r="7" ht="15.75" customHeight="1">
      <c r="A7" s="12" t="inlineStr">
        <is>
          <t>Almoço</t>
        </is>
      </c>
    </row>
    <row r="8">
      <c r="A8" s="3" t="inlineStr">
        <is>
          <t>Item</t>
        </is>
      </c>
      <c r="B8" s="3" t="inlineStr">
        <is>
          <t>11 pessoas</t>
        </is>
      </c>
      <c r="C8" s="3" t="inlineStr">
        <is>
          <t>16 pessoas</t>
        </is>
      </c>
      <c r="D8" s="3" t="inlineStr">
        <is>
          <t>20 pessoas</t>
        </is>
      </c>
      <c r="E8" s="3" t="inlineStr">
        <is>
          <t>Unidade</t>
        </is>
      </c>
      <c r="F8" s="3" t="inlineStr">
        <is>
          <t>Observação</t>
        </is>
      </c>
    </row>
    <row r="9">
      <c r="A9" t="inlineStr">
        <is>
          <t>Lasanha</t>
        </is>
      </c>
      <c r="B9" s="10" t="n">
        <v>1</v>
      </c>
      <c r="C9" s="10" t="n"/>
      <c r="D9" s="10" t="n"/>
      <c r="E9" s="10" t="inlineStr">
        <is>
          <t>travessa</t>
        </is>
      </c>
      <c r="F9" s="10" t="n"/>
    </row>
    <row r="10">
      <c r="A10" t="inlineStr">
        <is>
          <t>Estrogonofe</t>
        </is>
      </c>
      <c r="B10" s="10" t="n"/>
      <c r="C10" s="10" t="n"/>
      <c r="D10" s="10" t="n"/>
      <c r="E10" s="10" t="n"/>
      <c r="F10" s="10" t="n"/>
    </row>
    <row r="11">
      <c r="A11" t="inlineStr">
        <is>
          <t>Arroz</t>
        </is>
      </c>
      <c r="B11" s="10" t="n"/>
      <c r="C11" s="10" t="n"/>
      <c r="D11" s="10" t="n"/>
      <c r="E11" s="10" t="n"/>
      <c r="F11" s="10" t="n"/>
    </row>
    <row r="12">
      <c r="A12" t="inlineStr">
        <is>
          <t>Batata palha</t>
        </is>
      </c>
      <c r="B12" s="10" t="n"/>
      <c r="C12" s="10" t="n"/>
      <c r="D12" s="10" t="n"/>
      <c r="E12" s="10" t="n"/>
      <c r="F12" s="10" t="n"/>
    </row>
    <row r="13">
      <c r="A13" t="inlineStr">
        <is>
          <t>Salada</t>
        </is>
      </c>
      <c r="B13" s="10" t="n"/>
      <c r="C13" s="10" t="n"/>
      <c r="D13" s="10" t="n"/>
      <c r="E13" s="10" t="n"/>
      <c r="F13" s="10" t="n"/>
    </row>
    <row r="14">
      <c r="A14" t="inlineStr">
        <is>
          <t>Refrigerante</t>
        </is>
      </c>
      <c r="B14" s="10" t="n"/>
      <c r="C14" s="10" t="n"/>
      <c r="D14" s="10" t="n"/>
      <c r="E14" s="10" t="n"/>
      <c r="F14" s="10" t="n"/>
    </row>
    <row r="15">
      <c r="A15" t="inlineStr">
        <is>
          <t>Suco</t>
        </is>
      </c>
      <c r="B15" s="10" t="n"/>
      <c r="C15" s="10" t="n"/>
      <c r="D15" s="10" t="n"/>
      <c r="E15" s="10" t="n"/>
      <c r="F15" s="10" t="n"/>
    </row>
    <row r="16"/>
    <row r="17"/>
    <row r="18" ht="15.75" customHeight="1">
      <c r="A18" s="12" t="inlineStr">
        <is>
          <t>Lanche (padaria)</t>
        </is>
      </c>
    </row>
    <row r="19">
      <c r="A19" s="3" t="inlineStr">
        <is>
          <t>Item</t>
        </is>
      </c>
      <c r="B19" s="3" t="inlineStr">
        <is>
          <t>11 pessoas</t>
        </is>
      </c>
      <c r="C19" s="3" t="inlineStr">
        <is>
          <t>16 pessoas</t>
        </is>
      </c>
      <c r="D19" s="3" t="inlineStr">
        <is>
          <t>20 pessoas</t>
        </is>
      </c>
      <c r="E19" s="3" t="inlineStr">
        <is>
          <t>Unidade</t>
        </is>
      </c>
      <c r="F19" s="3" t="inlineStr">
        <is>
          <t>Observação</t>
        </is>
      </c>
    </row>
    <row r="20">
      <c r="A20" t="inlineStr">
        <is>
          <t>Pãezinhos</t>
        </is>
      </c>
      <c r="B20" s="10" t="n"/>
      <c r="C20" s="10" t="n"/>
      <c r="D20" s="10" t="n"/>
      <c r="E20" s="10" t="n"/>
      <c r="F20" s="10" t="n"/>
    </row>
    <row r="21">
      <c r="A21" t="inlineStr">
        <is>
          <t>Assados</t>
        </is>
      </c>
      <c r="B21" s="10" t="n"/>
      <c r="C21" s="10" t="n"/>
      <c r="D21" s="10" t="n"/>
      <c r="E21" s="10" t="n"/>
      <c r="F21" s="10" t="n"/>
    </row>
    <row r="22">
      <c r="A22" t="inlineStr">
        <is>
          <t>Café</t>
        </is>
      </c>
      <c r="B22" s="10" t="n"/>
      <c r="C22" s="10" t="n"/>
      <c r="D22" s="10" t="n"/>
      <c r="E22" s="10" t="n"/>
      <c r="F2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2026-09-14T16:38:03Z</dcterms:created>
  <dcterms:modified xmlns:dcterms="http://purl.org/dc/terms/" xmlns:xsi="http://www.w3.org/2001/XMLSchema-instance" xsi:type="dcterms:W3CDTF">2026-10-17T03:32:56Z</dcterms:modified>
  <cp:lastModifiedBy>Arthur De Castro</cp:lastModifiedBy>
</cp:coreProperties>
</file>