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0588b9a83f41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são" sheetId="1" r:id="Rb625c14eeb5d4436"/>
    <x:sheet xmlns:r="http://schemas.openxmlformats.org/officeDocument/2006/relationships" name="Macro" sheetId="2" r:id="R481a763426414cfd"/>
    <x:sheet xmlns:r="http://schemas.openxmlformats.org/officeDocument/2006/relationships" name="Atividades" sheetId="3" r:id="R2e0b0824028e4e89"/>
    <x:sheet xmlns:r="http://schemas.openxmlformats.org/officeDocument/2006/relationships" name="Orçamento" sheetId="4" r:id="R17585fe85c5048f2"/>
    <x:sheet xmlns:r="http://schemas.openxmlformats.org/officeDocument/2006/relationships" name="Dia" sheetId="5" r:id="R030e1d52d03048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hh:mm"/>
    <x:numFmt numFmtId="202" formatCode="&quot;R$ &quot;#,##0.00;(&quot;R$ &quot;#,##0.00);&quot;R$ &quot;0.00"/>
    <x:numFmt numFmtId="203" formatCode="0%"/>
    <x:numFmt numFmtId="204" formatCode="0"/>
  </x:numFmts>
  <x:fonts count="6">
    <x:font>
      <x:sz val="11"/>
      <x:name val="Carlito"/>
    </x:font>
    <x:font>
      <x:sz val="10"/>
      <x:color rgb="FF202B36"/>
      <x:name val="Arial"/>
    </x:font>
    <x:font>
      <x:b/>
      <x:sz val="15"/>
      <x:color rgb="FF24364B"/>
      <x:name val="Arial"/>
    </x:font>
    <x:font>
      <x:b/>
      <x:sz val="10"/>
      <x:color rgb="FFFFFFFF"/>
      <x:name val="Arial"/>
    </x:font>
    <x:font>
      <x:sz val="10"/>
      <x:color rgb="FF2056A1"/>
      <x:name val="Arial"/>
    </x:font>
    <x:font>
      <x:b/>
      <x:sz val="10"/>
      <x:color rgb="FF202B3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64B"/>
      </x:patternFill>
    </x:fill>
    <x:fill>
      <x:patternFill patternType="solid">
        <x:fgColor rgb="FFFFF2CC"/>
      </x:patternFill>
    </x:fill>
    <x:fill>
      <x:patternFill patternType="solid">
        <x:fgColor rgb="FFEEF2F6"/>
      </x:patternFill>
    </x:fill>
  </x:fills>
  <x:borders count="2">
    <x:border/>
    <x:border>
      <x:bottom style="thin">
        <x:color rgb="FFAAB9C7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0" fontId="4" fillId="3" borderId="0" xfId="0" applyNumberFormat="1" applyFont="1" applyFill="1" applyBorder="1" applyAlignment="1">
      <x:alignment vertical="center"/>
    </x:xf>
    <x:xf numFmtId="201" fontId="4" fillId="3" borderId="0" xfId="0" applyNumberFormat="1" applyFont="1" applyFill="1" applyBorder="1" applyAlignment="1">
      <x:alignment vertical="center"/>
    </x:xf>
    <x:xf numFmtId="202" fontId="4" fillId="3" borderId="0" xfId="0" applyNumberFormat="1" applyFont="1" applyFill="1" applyBorder="1" applyAlignment="1">
      <x:alignment vertical="center"/>
    </x:xf>
    <x:xf numFmtId="203" fontId="4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4" fontId="4" fillId="3" borderId="0" xfId="0" applyNumberFormat="1" applyFont="1" applyFill="1" applyBorder="1" applyAlignment="1">
      <x:alignment vertical="center"/>
    </x:xf>
    <x:xf numFmtId="204" fontId="4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ont>
        <x:b/>
        <x:color rgb="FF9C281D"/>
      </x:font>
      <x:fill>
        <x:patternFill patternType="solid">
          <x:bgColor rgb="FFFCE4D6"/>
        </x:patternFill>
      </x:fill>
    </x:dxf>
    <x:dxf>
      <x:font>
        <x:b/>
        <x:color rgb="FF9C281D"/>
      </x:font>
      <x:fill>
        <x:patternFill patternType="solid">
          <x:bgColor rgb="FFFCE4D6"/>
        </x:patternFill>
      </x:fill>
    </x:dxf>
    <x:dxf>
      <x:font>
        <x:b/>
        <x:color rgb="FF8A5E00"/>
      </x:font>
      <x:fill>
        <x:patternFill patternType="solid">
          <x:bgColor rgb="FFFFF2CC"/>
        </x:patternFill>
      </x:fill>
    </x:dxf>
    <x:dxf>
      <x:font>
        <x:b/>
        <x:color rgb="FF8A5E00"/>
      </x:font>
      <x:fill>
        <x:patternFill patternType="solid">
          <x:bgColor rgb="FFFFF2CC"/>
        </x:patternFill>
      </x:fill>
    </x:dxf>
    <x:dxf>
      <x:font>
        <x:b/>
        <x:color rgb="FF8A5E00"/>
      </x:font>
      <x:fill>
        <x:patternFill patternType="solid">
          <x:bgColor rgb="FFFFF2CC"/>
        </x:patternFill>
      </x:fill>
    </x:dxf>
    <x:dxf>
      <x:font>
        <x:b/>
        <x:color rgb="FF8A5E00"/>
      </x:font>
      <x:fill>
        <x:patternFill patternType="solid">
          <x:bgColor rgb="FFFFF2CC"/>
        </x:patternFill>
      </x:fill>
    </x:dxf>
    <x:dxf>
      <x:font>
        <x:b/>
        <x:color rgb="FF9C281D"/>
      </x:font>
      <x:fill>
        <x:patternFill patternType="solid">
          <x:bgColor rgb="FFFCE4D6"/>
        </x:patternFill>
      </x:fill>
    </x:dxf>
    <x:dxf>
      <x:font>
        <x:b/>
        <x:color rgb="FF9C281D"/>
      </x:font>
      <x:fill>
        <x:patternFill patternType="solid">
          <x:bgColor rgb="FFFCE4D6"/>
        </x:patternFill>
      </x:fill>
    </x:dxf>
    <x:dxf>
      <x:font>
        <x:b/>
        <x:color rgb="FF9C281D"/>
      </x:font>
      <x:fill>
        <x:patternFill patternType="solid">
          <x:bgColor rgb="FFFCE4D6"/>
        </x:patternFill>
      </x:fill>
    </x:dxf>
    <x:dxf>
      <x:font>
        <x:b/>
        <x:color rgb="FF9C281D"/>
      </x:font>
      <x:fill>
        <x:patternFill patternType="solid">
          <x:bgColor rgb="FFFCE4D6"/>
        </x:patternFill>
      </x:fill>
    </x:dxf>
    <x:dxf>
      <x:font>
        <x:b/>
        <x:color rgb="FF9C281D"/>
      </x:font>
      <x:fill>
        <x:patternFill patternType="solid">
          <x:bgColor rgb="FFFCE4D6"/>
        </x:patternFill>
      </x:fill>
    </x:dxf>
    <x:dxf>
      <x:font>
        <x:b/>
        <x:color rgb="FF9C281D"/>
      </x:font>
      <x:fill>
        <x:patternFill patternType="solid">
          <x:bgColor rgb="FFFCE4D6"/>
        </x:patternFill>
      </x:fill>
    </x:dxf>
    <x:dxf>
      <x:font>
        <x:b/>
        <x:color rgb="FF9C281D"/>
      </x:font>
      <x:fill>
        <x:patternFill patternType="solid">
          <x:bgColor rgb="FFFCE4D6"/>
        </x:patternFill>
      </x:fill>
    </x:dxf>
    <x:dxf>
      <x:font>
        <x:b/>
        <x:color rgb="FF9C281D"/>
      </x:font>
      <x:fill>
        <x:patternFill patternType="solid">
          <x:bgColor rgb="FFFCE4D6"/>
        </x:patternFill>
      </x:fill>
    </x:dxf>
    <x:dxf>
      <x:font>
        <x:b/>
        <x:color rgb="FF9C281D"/>
      </x:font>
      <x:fill>
        <x:patternFill patternType="solid">
          <x:bgColor rgb="FFFCE4D6"/>
        </x:patternFill>
      </x:fill>
    </x:dxf>
    <x:dxf>
      <x:font>
        <x:b/>
        <x:color rgb="FF9C281D"/>
      </x:font>
      <x:fill>
        <x:patternFill patternType="solid">
          <x:bgColor rgb="FFFCE4D6"/>
        </x:patternFill>
      </x:fill>
    </x:dxf>
    <x:dxf>
      <x:font>
        <x:b/>
        <x:color rgb="FF9C281D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b44e8145e8456b" /><Relationship Type="http://schemas.openxmlformats.org/officeDocument/2006/relationships/theme" Target="/xl/theme/theme1.xml" Id="R368a594d08be4001" /><Relationship Type="http://schemas.openxmlformats.org/officeDocument/2006/relationships/sharedStrings" Target="/xl/sharedStrings.xml" Id="R888059b093b7482d" /><Relationship Type="http://schemas.openxmlformats.org/officeDocument/2006/relationships/worksheet" Target="/xl/worksheets/sheet1.xml" Id="Rb625c14eeb5d4436" /><Relationship Type="http://schemas.openxmlformats.org/officeDocument/2006/relationships/worksheet" Target="/xl/worksheets/sheet2.xml" Id="R481a763426414cfd" /><Relationship Type="http://schemas.openxmlformats.org/officeDocument/2006/relationships/worksheet" Target="/xl/worksheets/sheet3.xml" Id="R2e0b0824028e4e89" /><Relationship Type="http://schemas.openxmlformats.org/officeDocument/2006/relationships/worksheet" Target="/xl/worksheets/sheet4.xml" Id="R17585fe85c5048f2" /><Relationship Type="http://schemas.openxmlformats.org/officeDocument/2006/relationships/worksheet" Target="/xl/worksheets/sheet5.xml" Id="R030e1d52d03048f3" /></Relationships>
</file>

<file path=xl/tables/table1.xml><?xml version="1.0" encoding="utf-8"?>
<x:table xmlns:x="http://schemas.openxmlformats.org/spreadsheetml/2006/main" id="2" name="MarcosEvento" displayName="MarcosEvento" ref="A5:H18" headerRowCount="1" totalsRowCount="0" totalsRowShown="0">
  <x:autoFilter ref="A5:H18"/>
  <x:tableColumns count="8">
    <x:tableColumn id="1" name="Marco"/>
    <x:tableColumn id="2" name="Entrega"/>
    <x:tableColumn id="3" name="Início D±"/>
    <x:tableColumn id="4" name="Prazo D±"/>
    <x:tableColumn id="5" name="Início proposto"/>
    <x:tableColumn id="6" name="Prazo proposto"/>
    <x:tableColumn id="7" name="Responsável sugerido"/>
    <x:tableColumn id="8" name="Condição para avança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AtividadesEvento" displayName="AtividadesEvento" ref="A5:R65" headerRowCount="1" totalsRowCount="0" totalsRowShown="0">
  <x:autoFilter ref="A5:R65"/>
  <x:tableColumns count="18">
    <x:tableColumn id="1" name="ID"/>
    <x:tableColumn id="2" name="Prioridade"/>
    <x:tableColumn id="3" name="Frente"/>
    <x:tableColumn id="4" name="Atividade"/>
    <x:tableColumn id="5" name="Responsável sugerido"/>
    <x:tableColumn id="6" name="Responsável confirmado"/>
    <x:tableColumn id="7" name="Início D±"/>
    <x:tableColumn id="8" name="Prazo D±"/>
    <x:tableColumn id="9" name="Início proposto"/>
    <x:tableColumn id="10" name="Prazo proposto"/>
    <x:tableColumn id="11" name="Predecessor 1"/>
    <x:tableColumn id="12" name="Predecessor 2"/>
    <x:tableColumn id="13" name="Predecessor 3"/>
    <x:tableColumn id="14" name="Status editável"/>
    <x:tableColumn id="15" name="Situação calculada"/>
    <x:tableColumn id="16" name="Critério de aceite"/>
    <x:tableColumn id="17" name="Evidência / bloqueio"/>
    <x:tableColumn id="18" name="Dependências aberta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901db2102e749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3f77e01f50444b" /></Relationships>
</file>

<file path=xl/worksheets/sheet1.xml><?xml version="1.0" encoding="utf-8"?>
<x:worksheet xmlns:x="http://schemas.openxmlformats.org/spreadsheetml/2006/main">
  <x:sheetPr>
    <x:tabColor rgb="FF24364B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25" hidden="0" customWidth="1"/>
    <x:col min="3" max="3" width="23" hidden="0" customWidth="1"/>
    <x:col min="4" max="4" width="72" hidden="0" customWidth="1"/>
  </x:cols>
  <x:sheetData>
    <x:row r="1" ht="24" customHeight="1">
      <x:c r="A1" s="2"/>
      <x:c r="B1" s="2"/>
      <x:c r="C1" s="2"/>
      <x:c r="D1" s="2"/>
    </x:row>
    <x:row r="2" ht="24" customHeight="1">
      <x:c r="A2" s="3" t="str">
        <x:v>Technetalks — planejamento do evento</x:v>
      </x:c>
      <x:c r="B2" s="2"/>
      <x:c r="C2" s="2"/>
      <x:c r="D2" s="2"/>
    </x:row>
    <x:row r="3" ht="24" customHeight="1">
      <x:c r="A3" s="4"/>
      <x:c r="B3" s="4"/>
      <x:c r="C3" s="4"/>
      <x:c r="D3" s="4"/>
    </x:row>
    <x:row r="4" ht="24" customHeight="1">
      <x:c r="A4" s="2" t="str">
        <x:v>Amarelo: campo editável. Datas e responsáveis operacionais são propostas até aceite.</x:v>
      </x:c>
      <x:c r="B4" s="2"/>
      <x:c r="C4" s="2"/>
      <x:c r="D4" s="2"/>
    </x:row>
    <x:row r="5" ht="32" customHeight="1">
      <x:c r="A5" s="8" t="str">
        <x:v>Premissa</x:v>
      </x:c>
      <x:c r="B5" s="8" t="str">
        <x:v>Valor</x:v>
      </x:c>
      <x:c r="C5" s="8" t="str">
        <x:v>Situação</x:v>
      </x:c>
      <x:c r="D5" s="8" t="str">
        <x:v>Uso e decisão pendente</x:v>
      </x:c>
    </x:row>
    <x:row r="6" ht="36" customHeight="1">
      <x:c r="A6" s="2" t="str">
        <x:v>Data do evento</x:v>
      </x:c>
      <x:c r="B6" s="11" t="n">
        <x:v>46312</x:v>
      </x:c>
      <x:c r="C6" s="2" t="str">
        <x:v>Confirmada</x:v>
      </x:c>
      <x:c r="D6" s="15" t="str">
        <x:v>Alterar somente após decisão dos organizadores. Recalcula os prazos.</x:v>
      </x:c>
    </x:row>
    <x:row r="7" ht="36" customHeight="1">
      <x:c r="A7" s="2" t="str">
        <x:v>Data de referência</x:v>
      </x:c>
      <x:c r="B7" s="11" t="n">
        <x:v>46277</x:v>
      </x:c>
      <x:c r="C7" s="2" t="str">
        <x:v>Base da revisão</x:v>
      </x:c>
      <x:c r="D7" s="15" t="str">
        <x:v>Atualizar a cada revisão para calcular atrasos. Não usa a data do computador.</x:v>
      </x:c>
    </x:row>
    <x:row r="8" ht="36" customHeight="1">
      <x:c r="A8" s="2" t="str">
        <x:v>Início do público</x:v>
      </x:c>
      <x:c r="B8" s="12" t="n">
        <x:v>0.4375</x:v>
      </x:c>
      <x:c r="C8" s="2" t="str">
        <x:v>Confirmado</x:v>
      </x:c>
      <x:c r="D8" s="15" t="str">
        <x:v>Recepção a partir de 10h30.</x:v>
      </x:c>
    </x:row>
    <x:row r="9" ht="36" customHeight="1">
      <x:c r="A9" s="2" t="str">
        <x:v>Encerramento</x:v>
      </x:c>
      <x:c r="B9" s="12" t="n">
        <x:v>0.7083333333333334</x:v>
      </x:c>
      <x:c r="C9" s="2" t="str">
        <x:v>Confirmado</x:v>
      </x:c>
      <x:c r="D9" s="15" t="str">
        <x:v>Encerramento do público às 17h.</x:v>
      </x:c>
    </x:row>
    <x:row r="10" ht="36" customHeight="1">
      <x:c r="A10" s="2" t="str">
        <x:v>Início do almoço</x:v>
      </x:c>
      <x:c r="B10" s="12" t="n">
        <x:v>0.5208333333333334</x:v>
      </x:c>
      <x:c r="C10" s="2" t="str">
        <x:v>Confirmado</x:v>
      </x:c>
      <x:c r="D10" s="15" t="str">
        <x:v>Lanche também incluído.</x:v>
      </x:c>
    </x:row>
    <x:row r="11" ht="36" customHeight="1">
      <x:c r="A11" s="2" t="str">
        <x:v>Público mínimo total</x:v>
      </x:c>
      <x:c r="B11" s="10" t="n">
        <x:v>16</x:v>
      </x:c>
      <x:c r="C11" s="2" t="str">
        <x:v>Confirmado</x:v>
      </x:c>
      <x:c r="D11" s="15" t="str">
        <x:v>Organizadores, palestrantes e apoio entram na mesma contagem.</x:v>
      </x:c>
    </x:row>
    <x:row r="12" ht="36" customHeight="1">
      <x:c r="A12" s="2" t="str">
        <x:v>Público máximo total</x:v>
      </x:c>
      <x:c r="B12" s="10" t="n">
        <x:v>20</x:v>
      </x:c>
      <x:c r="C12" s="2" t="str">
        <x:v>Confirmado</x:v>
      </x:c>
      <x:c r="D12" s="15" t="str">
        <x:v>Não representa 20 convidados além da equipe.</x:v>
      </x:c>
    </x:row>
    <x:row r="13" ht="36" customHeight="1">
      <x:c r="A13" s="2" t="str">
        <x:v>Pessoas para planejamento</x:v>
      </x:c>
      <x:c r="B13" s="10" t="n">
        <x:v>20</x:v>
      </x:c>
      <x:c r="C13" s="2" t="str">
        <x:v>Base proposta</x:v>
      </x:c>
      <x:c r="D13" s="15" t="str">
        <x:v>Usar total reconfirmado para compras e refeições.</x:v>
      </x:c>
    </x:row>
    <x:row r="14" ht="36" customHeight="1">
      <x:c r="A14" s="2" t="str">
        <x:v>Cadeiras disponíveis</x:v>
      </x:c>
      <x:c r="B14" s="10" t="n">
        <x:v>20</x:v>
      </x:c>
      <x:c r="C14" s="2" t="str">
        <x:v>Confirmadas</x:v>
      </x:c>
      <x:c r="D14" s="15" t="str">
        <x:v>Disponíveis e em condições de uso, segundo Arthur.</x:v>
      </x:c>
    </x:row>
    <x:row r="15" ht="36" customHeight="1">
      <x:c r="A15" s="2" t="str">
        <x:v>Teto total</x:v>
      </x:c>
      <x:c r="B15" s="13" t="n">
        <x:v>500</x:v>
      </x:c>
      <x:c r="C15" s="2" t="str">
        <x:v>Confirmado</x:v>
      </x:c>
      <x:c r="D15" s="15" t="str">
        <x:v>Aportes declarados. Recebimento ainda precisa de confirmação.</x:v>
      </x:c>
    </x:row>
    <x:row r="16" ht="36" customHeight="1">
      <x:c r="A16" s="2" t="str">
        <x:v>Reserva (% do teto)</x:v>
      </x:c>
      <x:c r="B16" s="14" t="n">
        <x:v>0.1</x:v>
      </x:c>
      <x:c r="C16" s="2" t="str">
        <x:v>Proposta</x:v>
      </x:c>
      <x:c r="D16" s="15" t="str">
        <x:v>Só utilizar por decisão de Arthur e Henrique.</x:v>
      </x:c>
    </x:row>
    <x:row r="17" ht="36" customHeight="1">
      <x:c r="A17" s="2" t="str">
        <x:v>Aporte declarado de Arthur</x:v>
      </x:c>
      <x:c r="B17" s="13" t="n">
        <x:v>250</x:v>
      </x:c>
      <x:c r="C17" s="2" t="str">
        <x:v>Confirmado</x:v>
      </x:c>
      <x:c r="D17" s="15" t="str">
        <x:v>Valor recebido é registrado na aba Orçamento.</x:v>
      </x:c>
    </x:row>
    <x:row r="18" ht="36" customHeight="1">
      <x:c r="A18" s="2" t="str">
        <x:v>Aporte declarado de Henrique</x:v>
      </x:c>
      <x:c r="B18" s="13" t="n">
        <x:v>250</x:v>
      </x:c>
      <x:c r="C18" s="2" t="str">
        <x:v>Confirmado</x:v>
      </x:c>
      <x:c r="D18" s="15" t="str">
        <x:v>Valor recebido é registrado na aba Orçamento.</x:v>
      </x:c>
    </x:row>
    <x:row r="19" ht="36" customHeight="1">
      <x:c r="A19" s="2" t="str">
        <x:v>Local</x:v>
      </x:c>
      <x:c r="B19" s="10" t="str">
        <x:v>Casa de Henrique, Gama/DF</x:v>
      </x:c>
      <x:c r="C19" s="2" t="str">
        <x:v>Confirmado</x:v>
      </x:c>
      <x:c r="D19" s="15" t="str">
        <x:v>Orientação completa compartilhada privadamente pelos organizadores.</x:v>
      </x:c>
    </x:row>
    <x:row r="20" ht="36" customHeight="1">
      <x:c r="A20" s="2" t="str">
        <x:v>Participação</x:v>
      </x:c>
      <x:c r="B20" s="10" t="str">
        <x:v>Gratuita</x:v>
      </x:c>
      <x:c r="C20" s="2" t="str">
        <x:v>Confirmada</x:v>
      </x:c>
      <x:c r="D20" s="15" t="str">
        <x:v>Sem receita prevista com inscrição.</x:v>
      </x:c>
    </x:row>
    <x:row r="21" ht="36" customHeight="1">
      <x:c r="A21" s="2" t="str">
        <x:v>Mão de obra do preparo</x:v>
      </x:c>
      <x:c r="B21" s="13" t="n">
        <x:v>0</x:v>
      </x:c>
      <x:c r="C21" s="2" t="str">
        <x:v>Sem cobrança confirmada</x:v>
      </x:c>
      <x:c r="D21" s="15" t="str">
        <x:v>Nome, capacidade, menu, transporte e utensílios ainda pendentes.</x:v>
      </x:c>
    </x:row>
    <x:row r="22" ht="24" customHeight="1">
      <x:c r="A22" s="2"/>
      <x:c r="B22" s="2"/>
      <x:c r="C22" s="2"/>
      <x:c r="D22" s="2"/>
    </x:row>
    <x:row r="23" ht="24" customHeight="1">
      <x:c r="A23" s="2" t="str">
        <x:v>Fonte das confirmações: Arthur, em 12/09/2026, registradas em DEC-007.</x:v>
      </x:c>
      <x:c r="B23" s="2"/>
      <x:c r="C23" s="2"/>
      <x:c r="D23" s="2"/>
    </x:row>
    <x:row r="24" ht="24" customHeight="1">
      <x:c r="A24" s="2" t="str">
        <x:v>Plano mestre e anexo “O que eu considero prioridade agora” orientam as propostas.</x:v>
      </x:c>
      <x:c r="B24" s="2"/>
      <x:c r="C24" s="2"/>
      <x:c r="D24" s="2"/>
    </x:row>
    <x:row r="25" ht="24" customHeight="1">
      <x:c r="A25" s="2"/>
      <x:c r="B25" s="2"/>
      <x:c r="C25" s="2"/>
      <x:c r="D25" s="2"/>
    </x:row>
    <x:row r="26" ht="32" customHeight="1">
      <x:c r="A26" s="8" t="str">
        <x:v>Decisão a fechar</x:v>
      </x:c>
      <x:c r="B26" s="8" t="str">
        <x:v>Responsável sugerido</x:v>
      </x:c>
      <x:c r="C26" s="8" t="str">
        <x:v>Situação editável</x:v>
      </x:c>
      <x:c r="D26" s="8" t="str">
        <x:v>Critério para fechar</x:v>
      </x:c>
    </x:row>
    <x:row r="27" ht="45" customHeight="1">
      <x:c r="A27" s="15" t="str">
        <x:v>Resultado da visita de 12/09</x:v>
      </x:c>
      <x:c r="B27" s="15" t="str">
        <x:v>Arthur + Henrique</x:v>
      </x:c>
      <x:c r="C27" s="16" t="str">
        <x:v>Pendente</x:v>
      </x:c>
      <x:c r="D27" s="15" t="str">
        <x:v>Registrar layout, circulação, cobertura e infraestrutura realmente verificados.</x:v>
      </x:c>
    </x:row>
    <x:row r="28" ht="45" customHeight="1">
      <x:c r="A28" s="15" t="str">
        <x:v>Nome público e desempate</x:v>
      </x:c>
      <x:c r="B28" s="15" t="str">
        <x:v>Arthur + Henrique</x:v>
      </x:c>
      <x:c r="C28" s="16" t="str">
        <x:v>Pendente</x:v>
      </x:c>
      <x:c r="D28" s="15" t="str">
        <x:v>Acordar nome do encontro e como resolver divergências.</x:v>
      </x:c>
    </x:row>
    <x:row r="29" ht="45" customHeight="1">
      <x:c r="A29" s="15" t="str">
        <x:v>Limites por categoria e reserva</x:v>
      </x:c>
      <x:c r="B29" s="15" t="str">
        <x:v>Arthur + Henrique</x:v>
      </x:c>
      <x:c r="C29" s="16" t="str">
        <x:v>Pendente</x:v>
      </x:c>
      <x:c r="D29" s="15" t="str">
        <x:v>Aprovar ou revisar a proposta de R$ 500 da aba Orçamento.</x:v>
      </x:c>
    </x:row>
    <x:row r="30" ht="45" customHeight="1">
      <x:c r="A30" s="15" t="str">
        <x:v>Pessoa do preparo e menu</x:v>
      </x:c>
      <x:c r="B30" s="15" t="str">
        <x:v>Henrique</x:v>
      </x:c>
      <x:c r="C30" s="16" t="str">
        <x:v>Pendente</x:v>
      </x:c>
      <x:c r="D30" s="15" t="str">
        <x:v>Identificar pessoa, capacidade para até 20 e logística sem cobrança de mão de obra.</x:v>
      </x:c>
    </x:row>
    <x:row r="31" ht="45" customHeight="1">
      <x:c r="A31" s="15" t="str">
        <x:v>VIRUS: título e formato</x:v>
      </x:c>
      <x:c r="B31" s="15" t="str">
        <x:v>Arthur + VIRUS</x:v>
      </x:c>
      <x:c r="C31" s="16" t="str">
        <x:v>Pendente</x:v>
      </x:c>
      <x:c r="D31" s="15" t="str">
        <x:v>Presença confirmada. Coletar resumo de IA no dia a dia e esclarecer “uso concorrente”.</x:v>
      </x:c>
    </x:row>
    <x:row r="32" ht="45" customHeight="1">
      <x:c r="A32" s="15" t="str">
        <x:v>Coatio: título e demonstração</x:v>
      </x:c>
      <x:c r="B32" s="15" t="str">
        <x:v>Arthur + Coatio</x:v>
      </x:c>
      <x:c r="C32" s="16" t="str">
        <x:v>Pendente</x:v>
      </x:c>
      <x:c r="D32" s="15" t="str">
        <x:v>Presença confirmada. Coletar resumo de design thinking/UI/UX e demo CARANGA em piloto.</x:v>
      </x:c>
    </x:row>
    <x:row r="33" ht="45" customHeight="1">
      <x:c r="A33" s="15" t="str">
        <x:v>Regras e roteiro das falas</x:v>
      </x:c>
      <x:c r="B33" s="15" t="str">
        <x:v>Arthur + Henrique</x:v>
      </x:c>
      <x:c r="C33" s="16" t="str">
        <x:v>Pendente</x:v>
      </x:c>
      <x:c r="D33" s="15" t="str">
        <x:v>Proposta: 25 min de conteúdo + 15 min de perguntas + 5 min de troca.</x:v>
      </x:c>
    </x:row>
    <x:row r="34" ht="45" customHeight="1">
      <x:c r="A34" s="15" t="str">
        <x:v>Recepção, técnica e serviço</x:v>
      </x:c>
      <x:c r="B34" s="15" t="str">
        <x:v>Arthur + Henrique</x:v>
      </x:c>
      <x:c r="C34" s="16" t="str">
        <x:v>Pendente</x:v>
      </x:c>
      <x:c r="D34" s="15" t="str">
        <x:v>Designar apoio com aceite. Evitar concentrar tarefas simultâneas nos anfitriões.</x:v>
      </x:c>
    </x:row>
    <x:row r="35" ht="45" customHeight="1">
      <x:c r="A35" s="15" t="str">
        <x:v>Prazo real da alimentação</x:v>
      </x:c>
      <x:c r="B35" s="15" t="str">
        <x:v>Henrique + preparo</x:v>
      </x:c>
      <x:c r="C35" s="16" t="str">
        <x:v>Pendente</x:v>
      </x:c>
      <x:c r="D35" s="15" t="str">
        <x:v>Validar até 20/09. Antecipar reconfirmação se 12/10 for tarde para o menu/fornecedor.</x:v>
      </x:c>
    </x:row>
    <x:row r="36" ht="45" customHeight="1">
      <x:c r="A36" s="15" t="str">
        <x:v>Foto e uso de materiais</x:v>
      </x:c>
      <x:c r="B36" s="15" t="str">
        <x:v>Arthur + Henrique</x:v>
      </x:c>
      <x:c r="C36" s="16" t="str">
        <x:v>Pendente</x:v>
      </x:c>
      <x:c r="D36" s="15" t="str">
        <x:v>Definir responsável e combinações com palestrantes e público. Foto de grupo opcional.</x:v>
      </x:c>
    </x:row>
    <x:row r="37" ht="45" customHeight="1">
      <x:c r="A37" s="15" t="str">
        <x:v>Mesa 360 e dinâmica</x:v>
      </x:c>
      <x:c r="B37" s="15" t="str">
        <x:v>Arthur + Henrique</x:v>
      </x:c>
      <x:c r="C37" s="16" t="str">
        <x:v>Pendente</x:v>
      </x:c>
      <x:c r="D37" s="15" t="str">
        <x:v>Aprovar mediação, pergunta inicial e tempos sem compras opcionais.</x:v>
      </x:c>
    </x:row>
    <x:row r="38" ht="45" customHeight="1">
      <x:c r="A38" s="15" t="str">
        <x:v>Banner, brinde e live</x:v>
      </x:c>
      <x:c r="B38" s="15" t="str">
        <x:v>Arthur + Henrique</x:v>
      </x:c>
      <x:c r="C38" s="16" t="str">
        <x:v>Sem verba aprovada</x:v>
      </x:c>
      <x:c r="D38" s="15" t="str">
        <x:v>P2. Somente com verba, responsável e aprovação explícitos.</x:v>
      </x:c>
    </x:row>
    <x:row r="39" ht="24" customHeight="1">
      <x:c r="A39" s="2"/>
      <x:c r="B39" s="2"/>
      <x:c r="C39" s="2"/>
      <x:c r="D39" s="2"/>
    </x:row>
    <x:row r="40" ht="24" customHeight="1">
      <x:c r="A40" s="17" t="str">
        <x:v>Controle das atividades</x:v>
      </x:c>
      <x:c r="B40" s="2"/>
      <x:c r="C40" s="2"/>
      <x:c r="D40" s="2"/>
    </x:row>
    <x:row r="41" ht="24" customHeight="1">
      <x:c r="A41" s="2" t="str">
        <x:v>Atividades concluídas</x:v>
      </x:c>
      <x:c r="B41" s="2" t="n">
        <x:f>COUNTIFS(Atividades!N6:N65,"Concluído")</x:f>
        <x:v>0</x:v>
      </x:c>
      <x:c r="C41" s="2"/>
      <x:c r="D41" s="2"/>
    </x:row>
    <x:row r="42" ht="24" customHeight="1">
      <x:c r="A42" s="2" t="str">
        <x:v>Atividades atrasadas</x:v>
      </x:c>
      <x:c r="B42" s="2" t="n">
        <x:f>COUNTIFS(Atividades!O6:O65,"Atrasado")</x:f>
        <x:v>0</x:v>
      </x:c>
      <x:c r="C42" s="2"/>
      <x:c r="D42" s="2"/>
    </x:row>
    <x:row r="43" ht="24" customHeight="1">
      <x:c r="A43" s="2" t="str">
        <x:v>Atividades bloqueadas</x:v>
      </x:c>
      <x:c r="B43" s="2" t="n">
        <x:f>COUNTIFS(Atividades!N6:N65,"Bloqueado")</x:f>
        <x:v>0</x:v>
      </x:c>
      <x:c r="C43" s="2"/>
      <x:c r="D43" s="2"/>
    </x:row>
    <x:row r="44" ht="24" customHeight="1">
      <x:c r="A44" s="2"/>
      <x:c r="B44" s="2"/>
      <x:c r="C44" s="2"/>
      <x:c r="D44" s="2"/>
    </x:row>
    <x:row r="45" ht="24" customHeight="1">
      <x:c r="A45" s="2" t="str">
        <x:v>Na aba Atividades, filtre P0 e preencha responsável confirmado, status e evidência.</x:v>
      </x:c>
      <x:c r="B45" s="2"/>
      <x:c r="C45" s="2"/>
      <x:c r="D45" s="2"/>
    </x:row>
    <x:row r="46" ht="24" customHeight="1">
      <x:c r="A46" s="2" t="str">
        <x:v>Não inserir nomes, contatos ou restrições dos participantes nesta planilha compartilhável.</x:v>
      </x:c>
      <x:c r="B46" s="2"/>
      <x:c r="C46" s="2"/>
      <x:c r="D46" s="2"/>
    </x:row>
    <x:row r="47" ht="24" customHeight="1">
      <x:c r="A47" s="2"/>
      <x:c r="B47" s="2"/>
      <x:c r="C47" s="2"/>
      <x:c r="D47" s="2"/>
    </x:row>
  </x:sheetData>
  <x:dataValidations count="3">
    <x:dataValidation type="whole" operator="between" sqref="B11:B14">
      <x:formula1>1</x:formula1>
      <x:formula2>100</x:formula2>
    </x:dataValidation>
    <x:dataValidation type="decimal" operator="between" sqref="B16">
      <x:formula1>0</x:formula1>
      <x:formula2>1</x:formula2>
    </x:dataValidation>
    <x:dataValidation type="list" sqref="C27:C38">
      <x:formula1>"Pendente,Aprovado,Revisar,Dispensado,Sem verba aprovada"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1" hidden="0" customWidth="1"/>
    <x:col min="2" max="2" width="43" hidden="0" customWidth="1"/>
    <x:col min="3" max="3" width="13" hidden="0" customWidth="1"/>
    <x:col min="4" max="4" width="13" hidden="0" customWidth="1"/>
    <x:col min="5" max="5" width="14" hidden="0" customWidth="1"/>
    <x:col min="6" max="6" width="14" hidden="0" customWidth="1"/>
    <x:col min="7" max="7" width="33" hidden="0" customWidth="1"/>
    <x:col min="8" max="8" width="7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Cronograma macro proposto</x:v>
      </x:c>
      <x:c r="B2" s="2"/>
      <x:c r="C2" s="2"/>
      <x:c r="D2" s="2"/>
      <x:c r="E2" s="2"/>
      <x:c r="F2" s="2"/>
      <x:c r="G2" s="2"/>
      <x:c r="H2" s="2"/>
    </x:row>
    <x:row r="3" ht="24" customHeight="1">
      <x:c r="A3" s="4"/>
      <x:c r="B3" s="4"/>
      <x:c r="C3" s="4"/>
      <x:c r="D3" s="4"/>
      <x:c r="E3" s="4"/>
      <x:c r="F3" s="4"/>
      <x:c r="G3" s="4"/>
      <x:c r="H3" s="4"/>
    </x:row>
    <x:row r="4" ht="24" customHeight="1">
      <x:c r="A4" s="2" t="str">
        <x:v>Prazos relativos ao evento. Em 20/09, conferir antecedência real da alimentação e antecipar o corte se necessário.</x:v>
      </x:c>
      <x:c r="B4" s="2"/>
      <x:c r="C4" s="2"/>
      <x:c r="D4" s="2"/>
      <x:c r="E4" s="2"/>
      <x:c r="F4" s="2"/>
      <x:c r="G4" s="2"/>
      <x:c r="H4" s="2"/>
    </x:row>
    <x:row r="5" ht="32" customHeight="1">
      <x:c r="A5" s="8" t="str">
        <x:v>Marco</x:v>
      </x:c>
      <x:c r="B5" s="8" t="str">
        <x:v>Entrega</x:v>
      </x:c>
      <x:c r="C5" s="8" t="str">
        <x:v>Início D±</x:v>
      </x:c>
      <x:c r="D5" s="8" t="str">
        <x:v>Prazo D±</x:v>
      </x:c>
      <x:c r="E5" s="8" t="str">
        <x:v>Início proposto</x:v>
      </x:c>
      <x:c r="F5" s="8" t="str">
        <x:v>Prazo proposto</x:v>
      </x:c>
      <x:c r="G5" s="8" t="str">
        <x:v>Responsável sugerido</x:v>
      </x:c>
      <x:c r="H5" s="8" t="str">
        <x:v>Condição para avançar</x:v>
      </x:c>
    </x:row>
    <x:row r="6" ht="47" customHeight="1">
      <x:c r="A6" s="15" t="str">
        <x:v>M01</x:v>
      </x:c>
      <x:c r="B6" s="15" t="str">
        <x:v>Reunião e visita</x:v>
      </x:c>
      <x:c r="C6" s="16" t="n">
        <x:v>-35</x:v>
      </x:c>
      <x:c r="D6" s="16" t="n">
        <x:v>-35</x:v>
      </x:c>
      <x:c r="E6" s="21" t="n">
        <x:f>'Visão'!$B$6+C6</x:f>
        <x:v>46277</x:v>
      </x:c>
      <x:c r="F6" s="21" t="n">
        <x:f>'Visão'!$B$6+D6</x:f>
        <x:v>46277</x:v>
      </x:c>
      <x:c r="G6" s="15" t="str">
        <x:v>Arthur + Henrique</x:v>
      </x:c>
      <x:c r="H6" s="15" t="str">
        <x:v>Layout verificado, decisões e donos registrados.</x:v>
      </x:c>
    </x:row>
    <x:row r="7" ht="47" customHeight="1">
      <x:c r="A7" s="15" t="str">
        <x:v>M02</x:v>
      </x:c>
      <x:c r="B7" s="15" t="str">
        <x:v>Pendências estruturais fechadas</x:v>
      </x:c>
      <x:c r="C7" s="16" t="n">
        <x:v>-35</x:v>
      </x:c>
      <x:c r="D7" s="16" t="n">
        <x:v>-33</x:v>
      </x:c>
      <x:c r="E7" s="21" t="n">
        <x:f>'Visão'!$B$6+C7</x:f>
        <x:v>46277</x:v>
      </x:c>
      <x:c r="F7" s="21" t="n">
        <x:f>'Visão'!$B$6+D7</x:f>
        <x:v>46279</x:v>
      </x:c>
      <x:c r="G7" s="15" t="str">
        <x:v>Arthur + Henrique</x:v>
      </x:c>
      <x:c r="H7" s="15" t="str">
        <x:v>Preparo identificado, limite total, apoio e limites de gastos acordados.</x:v>
      </x:c>
    </x:row>
    <x:row r="8" ht="47" customHeight="1">
      <x:c r="A8" s="15" t="str">
        <x:v>M03</x:v>
      </x:c>
      <x:c r="B8" s="15" t="str">
        <x:v>Questionários recebidos</x:v>
      </x:c>
      <x:c r="C8" s="16" t="n">
        <x:v>-33</x:v>
      </x:c>
      <x:c r="D8" s="16" t="n">
        <x:v>-29</x:v>
      </x:c>
      <x:c r="E8" s="21" t="n">
        <x:f>'Visão'!$B$6+C8</x:f>
        <x:v>46279</x:v>
      </x:c>
      <x:c r="F8" s="21" t="n">
        <x:f>'Visão'!$B$6+D8</x:f>
        <x:v>46283</x:v>
      </x:c>
      <x:c r="G8" s="15" t="str">
        <x:v>Arthur + palestrantes</x:v>
      </x:c>
      <x:c r="H8" s="15" t="str">
        <x:v>Título, resumo, equipamento e tempo de ambos recebidos.</x:v>
      </x:c>
    </x:row>
    <x:row r="9" ht="47" customHeight="1">
      <x:c r="A9" s="15" t="str">
        <x:v>M04</x:v>
      </x:c>
      <x:c r="B9" s="15" t="str">
        <x:v>Menu e conteúdo viáveis</x:v>
      </x:c>
      <x:c r="C9" s="16" t="n">
        <x:v>-29</x:v>
      </x:c>
      <x:c r="D9" s="16" t="n">
        <x:v>-27</x:v>
      </x:c>
      <x:c r="E9" s="21" t="n">
        <x:f>'Visão'!$B$6+C9</x:f>
        <x:v>46283</x:v>
      </x:c>
      <x:c r="F9" s="21" t="n">
        <x:f>'Visão'!$B$6+D9</x:f>
        <x:v>46285</x:v>
      </x:c>
      <x:c r="G9" s="15" t="str">
        <x:v>Henrique + Arthur</x:v>
      </x:c>
      <x:c r="H9" s="15" t="str">
        <x:v>Cotações compatíveis, prazo da alimentação e sinopses revisados.</x:v>
      </x:c>
    </x:row>
    <x:row r="10" ht="47" customHeight="1">
      <x:c r="A10" s="15" t="str">
        <x:v>M05</x:v>
      </x:c>
      <x:c r="B10" s="15" t="str">
        <x:v>Abrir confirmação e divulgar</x:v>
      </x:c>
      <x:c r="C10" s="16" t="n">
        <x:v>-26</x:v>
      </x:c>
      <x:c r="D10" s="16" t="n">
        <x:v>-26</x:v>
      </x:c>
      <x:c r="E10" s="21" t="n">
        <x:f>'Visão'!$B$6+C10</x:f>
        <x:v>46286</x:v>
      </x:c>
      <x:c r="F10" s="21" t="n">
        <x:f>'Visão'!$B$6+D10</x:f>
        <x:v>46286</x:v>
      </x:c>
      <x:c r="G10" s="15" t="str">
        <x:v>Arthur</x:v>
      </x:c>
      <x:c r="H10" s="15" t="str">
        <x:v>A partir de 21/09. Condicionado a nome, sinopses, inscrição e custo viável.</x:v>
      </x:c>
    </x:row>
    <x:row r="11" ht="47" customHeight="1">
      <x:c r="A11" s="15" t="str">
        <x:v>M06</x:v>
      </x:c>
      <x:c r="B11" s="15" t="str">
        <x:v>Infraestrutura garantida</x:v>
      </x:c>
      <x:c r="C11" s="16" t="n">
        <x:v>-27</x:v>
      </x:c>
      <x:c r="D11" s="16" t="n">
        <x:v>-20</x:v>
      </x:c>
      <x:c r="E11" s="21" t="n">
        <x:f>'Visão'!$B$6+C11</x:f>
        <x:v>46285</x:v>
      </x:c>
      <x:c r="F11" s="21" t="n">
        <x:f>'Visão'!$B$6+D11</x:f>
        <x:v>46292</x:v>
      </x:c>
      <x:c r="G11" s="15" t="str">
        <x:v>Henrique + técnica a definir</x:v>
      </x:c>
      <x:c r="H11" s="15" t="str">
        <x:v>Projeção, cabos, mesas, energia e alternativas testados.</x:v>
      </x:c>
    </x:row>
    <x:row r="12" ht="47" customHeight="1">
      <x:c r="A12" s="15" t="str">
        <x:v>M07</x:v>
      </x:c>
      <x:c r="B12" s="15" t="str">
        <x:v>Revisão de viabilidade</x:v>
      </x:c>
      <x:c r="C12" s="16" t="n">
        <x:v>-13</x:v>
      </x:c>
      <x:c r="D12" s="16" t="n">
        <x:v>-13</x:v>
      </x:c>
      <x:c r="E12" s="21" t="n">
        <x:f>'Visão'!$B$6+C12</x:f>
        <x:v>46299</x:v>
      </x:c>
      <x:c r="F12" s="21" t="n">
        <x:f>'Visão'!$B$6+D12</x:f>
        <x:v>46299</x:v>
      </x:c>
      <x:c r="G12" s="15" t="str">
        <x:v>Arthur + Henrique</x:v>
      </x:c>
      <x:c r="H12" s="15" t="str">
        <x:v>Conferir confirmações, custo, equipe e plano alternativo.</x:v>
      </x:c>
    </x:row>
    <x:row r="13" ht="47" customHeight="1">
      <x:c r="A13" s="15" t="str">
        <x:v>M08</x:v>
      </x:c>
      <x:c r="B13" s="15" t="str">
        <x:v>Presenças reconfirmadas</x:v>
      </x:c>
      <x:c r="C13" s="16" t="n">
        <x:v>-12</x:v>
      </x:c>
      <x:c r="D13" s="16" t="n">
        <x:v>-6</x:v>
      </x:c>
      <x:c r="E13" s="21" t="n">
        <x:f>'Visão'!$B$6+C13</x:f>
        <x:v>46300</x:v>
      </x:c>
      <x:c r="F13" s="21" t="n">
        <x:f>'Visão'!$B$6+D13</x:f>
        <x:v>46306</x:v>
      </x:c>
      <x:c r="G13" s="15" t="str">
        <x:v>Recepção a definir</x:v>
      </x:c>
      <x:c r="H13" s="15" t="str">
        <x:v>Total inclui apoio. Necessidades alimentares/acomodação tratadas privadamente.</x:v>
      </x:c>
    </x:row>
    <x:row r="14" ht="47" customHeight="1">
      <x:c r="A14" s="15" t="str">
        <x:v>M09</x:v>
      </x:c>
      <x:c r="B14" s="15" t="str">
        <x:v>Quantidades e compras aprovadas</x:v>
      </x:c>
      <x:c r="C14" s="16" t="n">
        <x:v>-5</x:v>
      </x:c>
      <x:c r="D14" s="16" t="n">
        <x:v>-5</x:v>
      </x:c>
      <x:c r="E14" s="21" t="n">
        <x:f>'Visão'!$B$6+C14</x:f>
        <x:v>46307</x:v>
      </x:c>
      <x:c r="F14" s="21" t="n">
        <x:f>'Visão'!$B$6+D14</x:f>
        <x:v>46307</x:v>
      </x:c>
      <x:c r="G14" s="15" t="str">
        <x:v>Henrique + preparo</x:v>
      </x:c>
      <x:c r="H14" s="15" t="str">
        <x:v>Prazo depende da alimentação. Só após reconfirmação e aprovação de gasto.</x:v>
      </x:c>
    </x:row>
    <x:row r="15" ht="47" customHeight="1">
      <x:c r="A15" s="15" t="str">
        <x:v>M10</x:v>
      </x:c>
      <x:c r="B15" s="15" t="str">
        <x:v>Materiais recebidos</x:v>
      </x:c>
      <x:c r="C15" s="16" t="n">
        <x:v>-6</x:v>
      </x:c>
      <x:c r="D15" s="16" t="n">
        <x:v>-3</x:v>
      </x:c>
      <x:c r="E15" s="21" t="n">
        <x:f>'Visão'!$B$6+C15</x:f>
        <x:v>46306</x:v>
      </x:c>
      <x:c r="F15" s="21" t="n">
        <x:f>'Visão'!$B$6+D15</x:f>
        <x:v>46309</x:v>
      </x:c>
      <x:c r="G15" s="15" t="str">
        <x:v>Arthur + palestrantes</x:v>
      </x:c>
      <x:c r="H15" s="15" t="str">
        <x:v>Slides, demo e alternativa offline disponíveis para teste.</x:v>
      </x:c>
    </x:row>
    <x:row r="16" ht="47" customHeight="1">
      <x:c r="A16" s="15" t="str">
        <x:v>M11</x:v>
      </x:c>
      <x:c r="B16" s="15" t="str">
        <x:v>Teste e conferência final</x:v>
      </x:c>
      <x:c r="C16" s="16" t="n">
        <x:v>-1</x:v>
      </x:c>
      <x:c r="D16" s="16" t="n">
        <x:v>-1</x:v>
      </x:c>
      <x:c r="E16" s="21" t="n">
        <x:f>'Visão'!$B$6+C16</x:f>
        <x:v>46311</x:v>
      </x:c>
      <x:c r="F16" s="21" t="n">
        <x:f>'Visão'!$B$6+D16</x:f>
        <x:v>46311</x:v>
      </x:c>
      <x:c r="G16" s="15" t="str">
        <x:v>Equipe do evento</x:v>
      </x:c>
      <x:c r="H16" s="15" t="str">
        <x:v>Som/imagem, roteiro, papéis e alimentação conferidos.</x:v>
      </x:c>
    </x:row>
    <x:row r="17" ht="47" customHeight="1">
      <x:c r="A17" s="15" t="str">
        <x:v>M12</x:v>
      </x:c>
      <x:c r="B17" s="15" t="str">
        <x:v>Encontro realizado</x:v>
      </x:c>
      <x:c r="C17" s="16" t="n">
        <x:v>0</x:v>
      </x:c>
      <x:c r="D17" s="16" t="n">
        <x:v>0</x:v>
      </x:c>
      <x:c r="E17" s="21" t="n">
        <x:f>'Visão'!$B$6+C17</x:f>
        <x:v>46312</x:v>
      </x:c>
      <x:c r="F17" s="21" t="n">
        <x:f>'Visão'!$B$6+D17</x:f>
        <x:v>46312</x:v>
      </x:c>
      <x:c r="G17" s="15" t="str">
        <x:v>Equipe do evento</x:v>
      </x:c>
      <x:c r="H17" s="15" t="str">
        <x:v>Público 10h30–17h; almoço 12h30; lanche incluído.</x:v>
      </x:c>
    </x:row>
    <x:row r="18" ht="47" customHeight="1">
      <x:c r="A18" s="15" t="str">
        <x:v>M13</x:v>
      </x:c>
      <x:c r="B18" s="15" t="str">
        <x:v>Fechamento e aprendizados</x:v>
      </x:c>
      <x:c r="C18" s="16" t="n">
        <x:v>1</x:v>
      </x:c>
      <x:c r="D18" s="16" t="n">
        <x:v>7</x:v>
      </x:c>
      <x:c r="E18" s="21" t="n">
        <x:f>'Visão'!$B$6+C18</x:f>
        <x:v>46313</x:v>
      </x:c>
      <x:c r="F18" s="21" t="n">
        <x:f>'Visão'!$B$6+D18</x:f>
        <x:v>46319</x:v>
      </x:c>
      <x:c r="G18" s="15" t="str">
        <x:v>Arthur + Henrique</x:v>
      </x:c>
      <x:c r="H18" s="15" t="str">
        <x:v>Custos conciliados, agradecimento pelos organizadores e lições registradas.</x:v>
      </x:c>
    </x:row>
    <x:row r="19" ht="24" customHeight="1">
      <x:c r="A19" s="2"/>
      <x:c r="B19" s="2"/>
      <x:c r="C19" s="2"/>
      <x:c r="D19" s="2"/>
      <x:c r="E19" s="2"/>
      <x:c r="F19" s="2"/>
      <x:c r="G19" s="2"/>
      <x:c r="H19" s="2"/>
    </x:row>
    <x:row r="20" ht="24" customHeight="1">
      <x:c r="A20" s="2" t="str">
        <x:v>Responsáveis sugeridos precisam aceitar as frentes. A execução é controlada pelos IDs EVT da aba Atividades.</x:v>
      </x:c>
      <x:c r="B20" s="2"/>
      <x:c r="C20" s="2"/>
      <x:c r="D20" s="2"/>
      <x:c r="E20" s="2"/>
      <x:c r="F20" s="2"/>
      <x:c r="G20" s="2"/>
      <x:c r="H20" s="2"/>
    </x:row>
    <x:row r="21" ht="24" customHeight="1">
      <x:c r="A21" s="2" t="str">
        <x:v>Se alterar a data do evento, revisar também agenda dos palestrantes, disponibilidade e prazos reais.</x:v>
      </x:c>
      <x:c r="B21" s="2"/>
      <x:c r="C21" s="2"/>
      <x:c r="D21" s="2"/>
      <x:c r="E21" s="2"/>
      <x:c r="F21" s="2"/>
      <x:c r="G21" s="2"/>
      <x:c r="H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</x:row>
  </x:sheetData>
  <x:pageMargins left="0.7" right="0.7" top="0.75" bottom="0.75" header="0.3" footer="0.3"/>
  <x:tableParts count="1">
    <x:tablePart xmlns:r="http://schemas.openxmlformats.org/officeDocument/2006/relationships" r:id="R8901db2102e749a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9" hidden="0" customWidth="1"/>
    <x:col min="3" max="3" width="19" hidden="0" customWidth="1"/>
    <x:col min="4" max="4" width="48" hidden="0" customWidth="1"/>
    <x:col min="5" max="5" width="30" hidden="0" customWidth="1"/>
    <x:col min="6" max="6" width="25" hidden="0" customWidth="1"/>
    <x:col min="7" max="7" width="11" hidden="0" customWidth="1"/>
    <x:col min="8" max="8" width="11" hidden="0" customWidth="1"/>
    <x:col min="9" max="9" width="14" hidden="0" customWidth="1"/>
    <x:col min="10" max="10" width="14" hidden="0" customWidth="1"/>
    <x:col min="11" max="11" width="13" hidden="0" customWidth="1"/>
    <x:col min="12" max="12" width="13" hidden="0" customWidth="1"/>
    <x:col min="13" max="13" width="13" hidden="0" customWidth="1"/>
    <x:col min="14" max="14" width="19" hidden="0" customWidth="1"/>
    <x:col min="15" max="15" width="25" hidden="0" customWidth="1"/>
    <x:col min="16" max="16" width="68" hidden="0" customWidth="1"/>
    <x:col min="17" max="17" width="45" hidden="0" customWidth="1"/>
    <x:col min="18" max="18" width="16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4" customHeight="1">
      <x:c r="A2" s="3" t="str">
        <x:v>Atividades operacionais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4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</x:row>
    <x:row r="4" ht="24" customHeight="1">
      <x:c r="A4" s="2" t="str">
        <x:v>P0 essencial; P1 experiência; P2 opcional. Dias relativos ao evento são editáveis. Donos sugeridos ainda exigem aceite.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32" customHeight="1">
      <x:c r="A5" s="8" t="str">
        <x:v>ID</x:v>
      </x:c>
      <x:c r="B5" s="8" t="str">
        <x:v>Prioridade</x:v>
      </x:c>
      <x:c r="C5" s="8" t="str">
        <x:v>Frente</x:v>
      </x:c>
      <x:c r="D5" s="8" t="str">
        <x:v>Atividade</x:v>
      </x:c>
      <x:c r="E5" s="8" t="str">
        <x:v>Responsável sugerido</x:v>
      </x:c>
      <x:c r="F5" s="8" t="str">
        <x:v>Responsável confirmado</x:v>
      </x:c>
      <x:c r="G5" s="8" t="str">
        <x:v>Início D±</x:v>
      </x:c>
      <x:c r="H5" s="8" t="str">
        <x:v>Prazo D±</x:v>
      </x:c>
      <x:c r="I5" s="8" t="str">
        <x:v>Início proposto</x:v>
      </x:c>
      <x:c r="J5" s="8" t="str">
        <x:v>Prazo proposto</x:v>
      </x:c>
      <x:c r="K5" s="8" t="str">
        <x:v>Predecessor 1</x:v>
      </x:c>
      <x:c r="L5" s="8" t="str">
        <x:v>Predecessor 2</x:v>
      </x:c>
      <x:c r="M5" s="8" t="str">
        <x:v>Predecessor 3</x:v>
      </x:c>
      <x:c r="N5" s="8" t="str">
        <x:v>Status editável</x:v>
      </x:c>
      <x:c r="O5" s="8" t="str">
        <x:v>Situação calculada</x:v>
      </x:c>
      <x:c r="P5" s="8" t="str">
        <x:v>Critério de aceite</x:v>
      </x:c>
      <x:c r="Q5" s="8" t="str">
        <x:v>Evidência / bloqueio</x:v>
      </x:c>
      <x:c r="R5" s="8" t="str">
        <x:v>Dependências abertas</x:v>
      </x:c>
    </x:row>
    <x:row r="6" ht="63" customHeight="1">
      <x:c r="A6" s="15" t="str">
        <x:v>EVT-001</x:v>
      </x:c>
      <x:c r="B6" s="15" t="str">
        <x:v>P0</x:v>
      </x:c>
      <x:c r="C6" s="15" t="str">
        <x:v>Decisões</x:v>
      </x:c>
      <x:c r="D6" s="15" t="str">
        <x:v>Realizar visita técnica e registrar layout</x:v>
      </x:c>
      <x:c r="E6" s="15" t="str">
        <x:v>Arthur + Henrique</x:v>
      </x:c>
      <x:c r="F6" s="16"/>
      <x:c r="G6" s="20" t="n">
        <x:v>-35</x:v>
      </x:c>
      <x:c r="H6" s="20" t="n">
        <x:v>-35</x:v>
      </x:c>
      <x:c r="I6" s="21" t="n">
        <x:f>IF(ISNUMBER(G6),'Visão'!$B$6+G6,"")</x:f>
        <x:v>46277</x:v>
      </x:c>
      <x:c r="J6" s="21" t="n">
        <x:f>IF(ISNUMBER(H6),'Visão'!$B$6+H6,"")</x:f>
        <x:v>46277</x:v>
      </x:c>
      <x:c r="K6" s="16"/>
      <x:c r="L6" s="16"/>
      <x:c r="M6" s="16"/>
      <x:c r="N6" s="16" t="str">
        <x:v>Não iniciado</x:v>
      </x:c>
      <x:c r="O6" s="15" t="str">
        <x:f>IF(N6="Não se aplica","Não se aplica",IF(N6="Concluído",IF(Q6="","Falta evidência",IF(R6&gt;0,"Revisar dependências","Concluído")),IF(N6="Bloqueado","Bloqueado",IF(J6="","Sem prazo",IF(J6&lt;'Visão'!$B$7,"Atrasado",IF(J6='Visão'!$B$7,"Hoje",IF(R6&gt;0,"Dependência pendente",IF(F6="","Sem responsável","No prazo"))))))))</x:f>
        <x:v>Hoje</x:v>
      </x:c>
      <x:c r="P6" s="15" t="str">
        <x:v>Layout com circulação, área coberta, cozinha e ponto das falas registrado.</x:v>
      </x:c>
      <x:c r="Q6" s="16"/>
      <x:c r="R6" s="15" t="n">
        <x:f>IF(K6="",0,IF(COUNTIFS($A$6:$A$65,K6,$N$6:$N$65,"Concluído")+COUNTIFS($A$6:$A$65,K6,$N$6:$N$65,"Não se aplica")&gt;0,0,1))+IF(L6="",0,IF(COUNTIFS($A$6:$A$65,L6,$N$6:$N$65,"Concluído")+COUNTIFS($A$6:$A$65,L6,$N$6:$N$65,"Não se aplica")&gt;0,0,1))+IF(M6="",0,IF(COUNTIFS($A$6:$A$65,M6,$N$6:$N$65,"Concluído")+COUNTIFS($A$6:$A$65,M6,$N$6:$N$65,"Não se aplica")&gt;0,0,1))</x:f>
        <x:v>0</x:v>
      </x:c>
    </x:row>
    <x:row r="7" ht="63" customHeight="1">
      <x:c r="A7" s="15" t="str">
        <x:v>EVT-002</x:v>
      </x:c>
      <x:c r="B7" s="15" t="str">
        <x:v>P0</x:v>
      </x:c>
      <x:c r="C7" s="15" t="str">
        <x:v>Decisões</x:v>
      </x:c>
      <x:c r="D7" s="15" t="str">
        <x:v>Acordar desempate e nome público</x:v>
      </x:c>
      <x:c r="E7" s="15" t="str">
        <x:v>Arthur + Henrique</x:v>
      </x:c>
      <x:c r="F7" s="16"/>
      <x:c r="G7" s="20" t="n">
        <x:v>-35</x:v>
      </x:c>
      <x:c r="H7" s="20" t="n">
        <x:v>-33</x:v>
      </x:c>
      <x:c r="I7" s="21" t="n">
        <x:f>IF(ISNUMBER(G7),'Visão'!$B$6+G7,"")</x:f>
        <x:v>46277</x:v>
      </x:c>
      <x:c r="J7" s="21" t="n">
        <x:f>IF(ISNUMBER(H7),'Visão'!$B$6+H7,"")</x:f>
        <x:v>46279</x:v>
      </x:c>
      <x:c r="K7" s="16" t="str">
        <x:v>EVT-001</x:v>
      </x:c>
      <x:c r="L7" s="16"/>
      <x:c r="M7" s="16"/>
      <x:c r="N7" s="16" t="str">
        <x:v>Não iniciado</x:v>
      </x:c>
      <x:c r="O7" s="15" t="str">
        <x:f>IF(N7="Não se aplica","Não se aplica",IF(N7="Concluído",IF(Q7="","Falta evidência",IF(R7&gt;0,"Revisar dependências","Concluído")),IF(N7="Bloqueado","Bloqueado",IF(J7="","Sem prazo",IF(J7&lt;'Visão'!$B$7,"Atrasado",IF(J7='Visão'!$B$7,"Hoje",IF(R7&gt;0,"Dependência pendente",IF(F7="","Sem responsável","No prazo"))))))))</x:f>
        <x:v>Dependência pendente</x:v>
      </x:c>
      <x:c r="P7" s="15" t="str">
        <x:v>Nome e regra de decisão conjunta registrados.</x:v>
      </x:c>
      <x:c r="Q7" s="16"/>
      <x:c r="R7" s="15" t="n">
        <x:f>IF(K7="",0,IF(COUNTIFS($A$6:$A$65,K7,$N$6:$N$65,"Concluído")+COUNTIFS($A$6:$A$65,K7,$N$6:$N$65,"Não se aplica")&gt;0,0,1))+IF(L7="",0,IF(COUNTIFS($A$6:$A$65,L7,$N$6:$N$65,"Concluído")+COUNTIFS($A$6:$A$65,L7,$N$6:$N$65,"Não se aplica")&gt;0,0,1))+IF(M7="",0,IF(COUNTIFS($A$6:$A$65,M7,$N$6:$N$65,"Concluído")+COUNTIFS($A$6:$A$65,M7,$N$6:$N$65,"Não se aplica")&gt;0,0,1))</x:f>
        <x:v>1</x:v>
      </x:c>
    </x:row>
    <x:row r="8" ht="63" customHeight="1">
      <x:c r="A8" s="15" t="str">
        <x:v>EVT-003</x:v>
      </x:c>
      <x:c r="B8" s="15" t="str">
        <x:v>P0</x:v>
      </x:c>
      <x:c r="C8" s="15" t="str">
        <x:v>Orçamento</x:v>
      </x:c>
      <x:c r="D8" s="15" t="str">
        <x:v>Aprovar limites por categoria e reserva</x:v>
      </x:c>
      <x:c r="E8" s="15" t="str">
        <x:v>Arthur + Henrique</x:v>
      </x:c>
      <x:c r="F8" s="16"/>
      <x:c r="G8" s="20" t="n">
        <x:v>-35</x:v>
      </x:c>
      <x:c r="H8" s="20" t="n">
        <x:v>-33</x:v>
      </x:c>
      <x:c r="I8" s="21" t="n">
        <x:f>IF(ISNUMBER(G8),'Visão'!$B$6+G8,"")</x:f>
        <x:v>46277</x:v>
      </x:c>
      <x:c r="J8" s="21" t="n">
        <x:f>IF(ISNUMBER(H8),'Visão'!$B$6+H8,"")</x:f>
        <x:v>46279</x:v>
      </x:c>
      <x:c r="K8" s="16" t="str">
        <x:v>EVT-001</x:v>
      </x:c>
      <x:c r="L8" s="16"/>
      <x:c r="M8" s="16"/>
      <x:c r="N8" s="16" t="str">
        <x:v>Não iniciado</x:v>
      </x:c>
      <x:c r="O8" s="15" t="str">
        <x:f>IF(N8="Não se aplica","Não se aplica",IF(N8="Concluído",IF(Q8="","Falta evidência",IF(R8&gt;0,"Revisar dependências","Concluído")),IF(N8="Bloqueado","Bloqueado",IF(J8="","Sem prazo",IF(J8&lt;'Visão'!$B$7,"Atrasado",IF(J8='Visão'!$B$7,"Hoje",IF(R8&gt;0,"Dependência pendente",IF(F8="","Sem responsável","No prazo"))))))))</x:f>
        <x:v>Dependência pendente</x:v>
      </x:c>
      <x:c r="P8" s="15" t="str">
        <x:v>Distribuição de R$ 500 aceita ou revisada sem ultrapassar o teto.</x:v>
      </x:c>
      <x:c r="Q8" s="16"/>
      <x:c r="R8" s="15" t="n">
        <x:f>IF(K8="",0,IF(COUNTIFS($A$6:$A$65,K8,$N$6:$N$65,"Concluído")+COUNTIFS($A$6:$A$65,K8,$N$6:$N$65,"Não se aplica")&gt;0,0,1))+IF(L8="",0,IF(COUNTIFS($A$6:$A$65,L8,$N$6:$N$65,"Concluído")+COUNTIFS($A$6:$A$65,L8,$N$6:$N$65,"Não se aplica")&gt;0,0,1))+IF(M8="",0,IF(COUNTIFS($A$6:$A$65,M8,$N$6:$N$65,"Concluído")+COUNTIFS($A$6:$A$65,M8,$N$6:$N$65,"Não se aplica")&gt;0,0,1))</x:f>
        <x:v>1</x:v>
      </x:c>
    </x:row>
    <x:row r="9" ht="63" customHeight="1">
      <x:c r="A9" s="15" t="str">
        <x:v>EVT-004</x:v>
      </x:c>
      <x:c r="B9" s="15" t="str">
        <x:v>P0</x:v>
      </x:c>
      <x:c r="C9" s="15" t="str">
        <x:v>Alimentação</x:v>
      </x:c>
      <x:c r="D9" s="15" t="str">
        <x:v>Identificar pessoa do preparo e confirmar capacidade</x:v>
      </x:c>
      <x:c r="E9" s="15" t="str">
        <x:v>Henrique</x:v>
      </x:c>
      <x:c r="F9" s="16"/>
      <x:c r="G9" s="20" t="n">
        <x:v>-35</x:v>
      </x:c>
      <x:c r="H9" s="20" t="n">
        <x:v>-33</x:v>
      </x:c>
      <x:c r="I9" s="21" t="n">
        <x:f>IF(ISNUMBER(G9),'Visão'!$B$6+G9,"")</x:f>
        <x:v>46277</x:v>
      </x:c>
      <x:c r="J9" s="21" t="n">
        <x:f>IF(ISNUMBER(H9),'Visão'!$B$6+H9,"")</x:f>
        <x:v>46279</x:v>
      </x:c>
      <x:c r="K9" s="16" t="str">
        <x:v>EVT-001</x:v>
      </x:c>
      <x:c r="L9" s="16"/>
      <x:c r="M9" s="16"/>
      <x:c r="N9" s="16" t="str">
        <x:v>Não iniciado</x:v>
      </x:c>
      <x:c r="O9" s="15" t="str">
        <x:f>IF(N9="Não se aplica","Não se aplica",IF(N9="Concluído",IF(Q9="","Falta evidência",IF(R9&gt;0,"Revisar dependências","Concluído")),IF(N9="Bloqueado","Bloqueado",IF(J9="","Sem prazo",IF(J9&lt;'Visão'!$B$7,"Atrasado",IF(J9='Visão'!$B$7,"Hoje",IF(R9&gt;0,"Dependência pendente",IF(F9="","Sem responsável","No prazo"))))))))</x:f>
        <x:v>Dependência pendente</x:v>
      </x:c>
      <x:c r="P9" s="15" t="str">
        <x:v>Pessoa identificada, aceite e capacidade para 20 refeições confirmados.</x:v>
      </x:c>
      <x:c r="Q9" s="16"/>
      <x:c r="R9" s="15" t="n">
        <x:f>IF(K9="",0,IF(COUNTIFS($A$6:$A$65,K9,$N$6:$N$65,"Concluído")+COUNTIFS($A$6:$A$65,K9,$N$6:$N$65,"Não se aplica")&gt;0,0,1))+IF(L9="",0,IF(COUNTIFS($A$6:$A$65,L9,$N$6:$N$65,"Concluído")+COUNTIFS($A$6:$A$65,L9,$N$6:$N$65,"Não se aplica")&gt;0,0,1))+IF(M9="",0,IF(COUNTIFS($A$6:$A$65,M9,$N$6:$N$65,"Concluído")+COUNTIFS($A$6:$A$65,M9,$N$6:$N$65,"Não se aplica")&gt;0,0,1))</x:f>
        <x:v>1</x:v>
      </x:c>
    </x:row>
    <x:row r="10" ht="63" customHeight="1">
      <x:c r="A10" s="15" t="str">
        <x:v>EVT-005</x:v>
      </x:c>
      <x:c r="B10" s="15" t="str">
        <x:v>P0</x:v>
      </x:c>
      <x:c r="C10" s="15" t="str">
        <x:v>Equipe</x:v>
      </x:c>
      <x:c r="D10" s="15" t="str">
        <x:v>Definir donos de recepção, técnica e serviço</x:v>
      </x:c>
      <x:c r="E10" s="15" t="str">
        <x:v>Arthur + Henrique</x:v>
      </x:c>
      <x:c r="F10" s="16"/>
      <x:c r="G10" s="20" t="n">
        <x:v>-35</x:v>
      </x:c>
      <x:c r="H10" s="20" t="n">
        <x:v>-33</x:v>
      </x:c>
      <x:c r="I10" s="21" t="n">
        <x:f>IF(ISNUMBER(G10),'Visão'!$B$6+G10,"")</x:f>
        <x:v>46277</x:v>
      </x:c>
      <x:c r="J10" s="21" t="n">
        <x:f>IF(ISNUMBER(H10),'Visão'!$B$6+H10,"")</x:f>
        <x:v>46279</x:v>
      </x:c>
      <x:c r="K10" s="16" t="str">
        <x:v>EVT-001</x:v>
      </x:c>
      <x:c r="L10" s="16"/>
      <x:c r="M10" s="16"/>
      <x:c r="N10" s="16" t="str">
        <x:v>Não iniciado</x:v>
      </x:c>
      <x:c r="O10" s="15" t="str">
        <x:f>IF(N10="Não se aplica","Não se aplica",IF(N10="Concluído",IF(Q10="","Falta evidência",IF(R10&gt;0,"Revisar dependências","Concluído")),IF(N10="Bloqueado","Bloqueado",IF(J10="","Sem prazo",IF(J10&lt;'Visão'!$B$7,"Atrasado",IF(J10='Visão'!$B$7,"Hoje",IF(R10&gt;0,"Dependência pendente",IF(F10="","Sem responsável","No prazo"))))))))</x:f>
        <x:v>Dependência pendente</x:v>
      </x:c>
      <x:c r="P10" s="15" t="str">
        <x:v>Pessoas aceitam frentes e horários. Todas entram no limite total.</x:v>
      </x:c>
      <x:c r="Q10" s="16"/>
      <x:c r="R10" s="15" t="n">
        <x:f>IF(K10="",0,IF(COUNTIFS($A$6:$A$65,K10,$N$6:$N$65,"Concluído")+COUNTIFS($A$6:$A$65,K10,$N$6:$N$65,"Não se aplica")&gt;0,0,1))+IF(L10="",0,IF(COUNTIFS($A$6:$A$65,L10,$N$6:$N$65,"Concluído")+COUNTIFS($A$6:$A$65,L10,$N$6:$N$65,"Não se aplica")&gt;0,0,1))+IF(M10="",0,IF(COUNTIFS($A$6:$A$65,M10,$N$6:$N$65,"Concluído")+COUNTIFS($A$6:$A$65,M10,$N$6:$N$65,"Não se aplica")&gt;0,0,1))</x:f>
        <x:v>1</x:v>
      </x:c>
    </x:row>
    <x:row r="11" ht="63" customHeight="1">
      <x:c r="A11" s="15" t="str">
        <x:v>EVT-006</x:v>
      </x:c>
      <x:c r="B11" s="15" t="str">
        <x:v>P0</x:v>
      </x:c>
      <x:c r="C11" s="15" t="str">
        <x:v>Público</x:v>
      </x:c>
      <x:c r="D11" s="15" t="str">
        <x:v>Fechar regra do total e limite de confirmação</x:v>
      </x:c>
      <x:c r="E11" s="15" t="str">
        <x:v>Arthur + Henrique</x:v>
      </x:c>
      <x:c r="F11" s="16"/>
      <x:c r="G11" s="20" t="n">
        <x:v>-35</x:v>
      </x:c>
      <x:c r="H11" s="20" t="n">
        <x:v>-33</x:v>
      </x:c>
      <x:c r="I11" s="21" t="n">
        <x:f>IF(ISNUMBER(G11),'Visão'!$B$6+G11,"")</x:f>
        <x:v>46277</x:v>
      </x:c>
      <x:c r="J11" s="21" t="n">
        <x:f>IF(ISNUMBER(H11),'Visão'!$B$6+H11,"")</x:f>
        <x:v>46279</x:v>
      </x:c>
      <x:c r="K11" s="16" t="str">
        <x:v>EVT-001</x:v>
      </x:c>
      <x:c r="L11" s="16"/>
      <x:c r="M11" s="16"/>
      <x:c r="N11" s="16" t="str">
        <x:v>Não iniciado</x:v>
      </x:c>
      <x:c r="O11" s="15" t="str">
        <x:f>IF(N11="Não se aplica","Não se aplica",IF(N11="Concluído",IF(Q11="","Falta evidência",IF(R11&gt;0,"Revisar dependências","Concluído")),IF(N11="Bloqueado","Bloqueado",IF(J11="","Sem prazo",IF(J11&lt;'Visão'!$B$7,"Atrasado",IF(J11='Visão'!$B$7,"Hoje",IF(R11&gt;0,"Dependência pendente",IF(F11="","Sem responsável","No prazo"))))))))</x:f>
        <x:v>Dependência pendente</x:v>
      </x:c>
      <x:c r="P11" s="15" t="str">
        <x:v>Limite de 20 inclui anfitriões, palestrantes, preparo e apoio presente.</x:v>
      </x:c>
      <x:c r="Q11" s="16"/>
      <x:c r="R11" s="15" t="n">
        <x:f>IF(K11="",0,IF(COUNTIFS($A$6:$A$65,K11,$N$6:$N$65,"Concluído")+COUNTIFS($A$6:$A$65,K11,$N$6:$N$65,"Não se aplica")&gt;0,0,1))+IF(L11="",0,IF(COUNTIFS($A$6:$A$65,L11,$N$6:$N$65,"Concluído")+COUNTIFS($A$6:$A$65,L11,$N$6:$N$65,"Não se aplica")&gt;0,0,1))+IF(M11="",0,IF(COUNTIFS($A$6:$A$65,M11,$N$6:$N$65,"Concluído")+COUNTIFS($A$6:$A$65,M11,$N$6:$N$65,"Não se aplica")&gt;0,0,1))</x:f>
        <x:v>1</x:v>
      </x:c>
    </x:row>
    <x:row r="12" ht="63" customHeight="1">
      <x:c r="A12" s="15" t="str">
        <x:v>EVT-007</x:v>
      </x:c>
      <x:c r="B12" s="15" t="str">
        <x:v>P0</x:v>
      </x:c>
      <x:c r="C12" s="15" t="str">
        <x:v>Orçamento</x:v>
      </x:c>
      <x:c r="D12" s="15" t="str">
        <x:v>Confirmar recebimento dos dois aportes</x:v>
      </x:c>
      <x:c r="E12" s="15" t="str">
        <x:v>Arthur</x:v>
      </x:c>
      <x:c r="F12" s="16"/>
      <x:c r="G12" s="20" t="n">
        <x:v>-35</x:v>
      </x:c>
      <x:c r="H12" s="20" t="n">
        <x:v>-27</x:v>
      </x:c>
      <x:c r="I12" s="21" t="n">
        <x:f>IF(ISNUMBER(G12),'Visão'!$B$6+G12,"")</x:f>
        <x:v>46277</x:v>
      </x:c>
      <x:c r="J12" s="21" t="n">
        <x:f>IF(ISNUMBER(H12),'Visão'!$B$6+H12,"")</x:f>
        <x:v>46285</x:v>
      </x:c>
      <x:c r="K12" s="16" t="str">
        <x:v>EVT-003</x:v>
      </x:c>
      <x:c r="L12" s="16"/>
      <x:c r="M12" s="16"/>
      <x:c r="N12" s="16" t="str">
        <x:v>Não iniciado</x:v>
      </x:c>
      <x:c r="O12" s="15" t="str">
        <x:f>IF(N12="Não se aplica","Não se aplica",IF(N12="Concluído",IF(Q12="","Falta evidência",IF(R12&gt;0,"Revisar dependências","Concluído")),IF(N12="Bloqueado","Bloqueado",IF(J12="","Sem prazo",IF(J12&lt;'Visão'!$B$7,"Atrasado",IF(J12='Visão'!$B$7,"Hoje",IF(R12&gt;0,"Dependência pendente",IF(F12="","Sem responsável","No prazo"))))))))</x:f>
        <x:v>Dependência pendente</x:v>
      </x:c>
      <x:c r="P12" s="15" t="str">
        <x:v>Entradas recebidas e comprovadas antes de comprometer pagamentos.</x:v>
      </x:c>
      <x:c r="Q12" s="16"/>
      <x:c r="R12" s="15" t="n">
        <x:f>IF(K12="",0,IF(COUNTIFS($A$6:$A$65,K12,$N$6:$N$65,"Concluído")+COUNTIFS($A$6:$A$65,K12,$N$6:$N$65,"Não se aplica")&gt;0,0,1))+IF(L12="",0,IF(COUNTIFS($A$6:$A$65,L12,$N$6:$N$65,"Concluído")+COUNTIFS($A$6:$A$65,L12,$N$6:$N$65,"Não se aplica")&gt;0,0,1))+IF(M12="",0,IF(COUNTIFS($A$6:$A$65,M12,$N$6:$N$65,"Concluído")+COUNTIFS($A$6:$A$65,M12,$N$6:$N$65,"Não se aplica")&gt;0,0,1))</x:f>
        <x:v>1</x:v>
      </x:c>
    </x:row>
    <x:row r="13" ht="63" customHeight="1">
      <x:c r="A13" s="15" t="str">
        <x:v>EVT-008</x:v>
      </x:c>
      <x:c r="B13" s="15" t="str">
        <x:v>P0</x:v>
      </x:c>
      <x:c r="C13" s="15" t="str">
        <x:v>Conteúdo</x:v>
      </x:c>
      <x:c r="D13" s="15" t="str">
        <x:v>Revisar questionário e regras das palestras</x:v>
      </x:c>
      <x:c r="E13" s="15" t="str">
        <x:v>Arthur + Henrique</x:v>
      </x:c>
      <x:c r="F13" s="16"/>
      <x:c r="G13" s="20" t="n">
        <x:v>-35</x:v>
      </x:c>
      <x:c r="H13" s="20" t="n">
        <x:v>-33</x:v>
      </x:c>
      <x:c r="I13" s="21" t="n">
        <x:f>IF(ISNUMBER(G13),'Visão'!$B$6+G13,"")</x:f>
        <x:v>46277</x:v>
      </x:c>
      <x:c r="J13" s="21" t="n">
        <x:f>IF(ISNUMBER(H13),'Visão'!$B$6+H13,"")</x:f>
        <x:v>46279</x:v>
      </x:c>
      <x:c r="K13" s="16" t="str">
        <x:v>EVT-001</x:v>
      </x:c>
      <x:c r="L13" s="16"/>
      <x:c r="M13" s="16"/>
      <x:c r="N13" s="16" t="str">
        <x:v>Não iniciado</x:v>
      </x:c>
      <x:c r="O13" s="15" t="str">
        <x:f>IF(N13="Não se aplica","Não se aplica",IF(N13="Concluído",IF(Q13="","Falta evidência",IF(R13&gt;0,"Revisar dependências","Concluído")),IF(N13="Bloqueado","Bloqueado",IF(J13="","Sem prazo",IF(J13&lt;'Visão'!$B$7,"Atrasado",IF(J13='Visão'!$B$7,"Hoje",IF(R13&gt;0,"Dependência pendente",IF(F13="","Sem responsável","No prazo"))))))))</x:f>
        <x:v>Dependência pendente</x:v>
      </x:c>
      <x:c r="P13" s="15" t="str">
        <x:v>Perguntas e proposta de tempos aprovadas para encaminhamento pelos organizadores.</x:v>
      </x:c>
      <x:c r="Q13" s="16"/>
      <x:c r="R13" s="15" t="n">
        <x:f>IF(K13="",0,IF(COUNTIFS($A$6:$A$65,K13,$N$6:$N$65,"Concluído")+COUNTIFS($A$6:$A$65,K13,$N$6:$N$65,"Não se aplica")&gt;0,0,1))+IF(L13="",0,IF(COUNTIFS($A$6:$A$65,L13,$N$6:$N$65,"Concluído")+COUNTIFS($A$6:$A$65,L13,$N$6:$N$65,"Não se aplica")&gt;0,0,1))+IF(M13="",0,IF(COUNTIFS($A$6:$A$65,M13,$N$6:$N$65,"Concluído")+COUNTIFS($A$6:$A$65,M13,$N$6:$N$65,"Não se aplica")&gt;0,0,1))</x:f>
        <x:v>1</x:v>
      </x:c>
    </x:row>
    <x:row r="14" ht="63" customHeight="1">
      <x:c r="A14" s="15" t="str">
        <x:v>EVT-009</x:v>
      </x:c>
      <x:c r="B14" s="15" t="str">
        <x:v>P0</x:v>
      </x:c>
      <x:c r="C14" s="15" t="str">
        <x:v>Conteúdo</x:v>
      </x:c>
      <x:c r="D14" s="15" t="str">
        <x:v>Encaminhar questionário aos dois palestrantes</x:v>
      </x:c>
      <x:c r="E14" s="15" t="str">
        <x:v>Arthur</x:v>
      </x:c>
      <x:c r="F14" s="16"/>
      <x:c r="G14" s="20" t="n">
        <x:v>-33</x:v>
      </x:c>
      <x:c r="H14" s="20" t="n">
        <x:v>-32</x:v>
      </x:c>
      <x:c r="I14" s="21" t="n">
        <x:f>IF(ISNUMBER(G14),'Visão'!$B$6+G14,"")</x:f>
        <x:v>46279</x:v>
      </x:c>
      <x:c r="J14" s="21" t="n">
        <x:f>IF(ISNUMBER(H14),'Visão'!$B$6+H14,"")</x:f>
        <x:v>46280</x:v>
      </x:c>
      <x:c r="K14" s="16" t="str">
        <x:v>EVT-008</x:v>
      </x:c>
      <x:c r="L14" s="16"/>
      <x:c r="M14" s="16"/>
      <x:c r="N14" s="16" t="str">
        <x:v>Não iniciado</x:v>
      </x:c>
      <x:c r="O14" s="15" t="str">
        <x:f>IF(N14="Não se aplica","Não se aplica",IF(N14="Concluído",IF(Q14="","Falta evidência",IF(R14&gt;0,"Revisar dependências","Concluído")),IF(N14="Bloqueado","Bloqueado",IF(J14="","Sem prazo",IF(J14&lt;'Visão'!$B$7,"Atrasado",IF(J14='Visão'!$B$7,"Hoje",IF(R14&gt;0,"Dependência pendente",IF(F14="","Sem responsável","No prazo"))))))))</x:f>
        <x:v>Dependência pendente</x:v>
      </x:c>
      <x:c r="P14" s="15" t="str">
        <x:v>Envio realizado pelo organizador e prazo de resposta combinado.</x:v>
      </x:c>
      <x:c r="Q14" s="16"/>
      <x:c r="R14" s="15" t="n">
        <x:f>IF(K14="",0,IF(COUNTIFS($A$6:$A$65,K14,$N$6:$N$65,"Concluído")+COUNTIFS($A$6:$A$65,K14,$N$6:$N$65,"Não se aplica")&gt;0,0,1))+IF(L14="",0,IF(COUNTIFS($A$6:$A$65,L14,$N$6:$N$65,"Concluído")+COUNTIFS($A$6:$A$65,L14,$N$6:$N$65,"Não se aplica")&gt;0,0,1))+IF(M14="",0,IF(COUNTIFS($A$6:$A$65,M14,$N$6:$N$65,"Concluído")+COUNTIFS($A$6:$A$65,M14,$N$6:$N$65,"Não se aplica")&gt;0,0,1))</x:f>
        <x:v>1</x:v>
      </x:c>
    </x:row>
    <x:row r="15" ht="63" customHeight="1">
      <x:c r="A15" s="15" t="str">
        <x:v>EVT-010</x:v>
      </x:c>
      <x:c r="B15" s="15" t="str">
        <x:v>P0</x:v>
      </x:c>
      <x:c r="C15" s="15" t="str">
        <x:v>Conteúdo</x:v>
      </x:c>
      <x:c r="D15" s="15" t="str">
        <x:v>Receber respostas de VIRUS</x:v>
      </x:c>
      <x:c r="E15" s="15" t="str">
        <x:v>Arthur + VIRUS</x:v>
      </x:c>
      <x:c r="F15" s="16"/>
      <x:c r="G15" s="20" t="n">
        <x:v>-32</x:v>
      </x:c>
      <x:c r="H15" s="20" t="n">
        <x:v>-29</x:v>
      </x:c>
      <x:c r="I15" s="21" t="n">
        <x:f>IF(ISNUMBER(G15),'Visão'!$B$6+G15,"")</x:f>
        <x:v>46280</x:v>
      </x:c>
      <x:c r="J15" s="21" t="n">
        <x:f>IF(ISNUMBER(H15),'Visão'!$B$6+H15,"")</x:f>
        <x:v>46283</x:v>
      </x:c>
      <x:c r="K15" s="16" t="str">
        <x:v>EVT-009</x:v>
      </x:c>
      <x:c r="L15" s="16"/>
      <x:c r="M15" s="16"/>
      <x:c r="N15" s="16" t="str">
        <x:v>Não iniciado</x:v>
      </x:c>
      <x:c r="O15" s="15" t="str">
        <x:f>IF(N15="Não se aplica","Não se aplica",IF(N15="Concluído",IF(Q15="","Falta evidência",IF(R15&gt;0,"Revisar dependências","Concluído")),IF(N15="Bloqueado","Bloqueado",IF(J15="","Sem prazo",IF(J15&lt;'Visão'!$B$7,"Atrasado",IF(J15='Visão'!$B$7,"Hoje",IF(R15&gt;0,"Dependência pendente",IF(F15="","Sem responsável","No prazo"))))))))</x:f>
        <x:v>Dependência pendente</x:v>
      </x:c>
      <x:c r="P15" s="15" t="str">
        <x:v>Título, resumo, necessidade técnica e sentido de “uso concorrente” esclarecidos.</x:v>
      </x:c>
      <x:c r="Q15" s="16"/>
      <x:c r="R15" s="15" t="n">
        <x:f>IF(K15="",0,IF(COUNTIFS($A$6:$A$65,K15,$N$6:$N$65,"Concluído")+COUNTIFS($A$6:$A$65,K15,$N$6:$N$65,"Não se aplica")&gt;0,0,1))+IF(L15="",0,IF(COUNTIFS($A$6:$A$65,L15,$N$6:$N$65,"Concluído")+COUNTIFS($A$6:$A$65,L15,$N$6:$N$65,"Não se aplica")&gt;0,0,1))+IF(M15="",0,IF(COUNTIFS($A$6:$A$65,M15,$N$6:$N$65,"Concluído")+COUNTIFS($A$6:$A$65,M15,$N$6:$N$65,"Não se aplica")&gt;0,0,1))</x:f>
        <x:v>1</x:v>
      </x:c>
    </x:row>
    <x:row r="16" ht="63" customHeight="1">
      <x:c r="A16" s="15" t="str">
        <x:v>EVT-011</x:v>
      </x:c>
      <x:c r="B16" s="15" t="str">
        <x:v>P0</x:v>
      </x:c>
      <x:c r="C16" s="15" t="str">
        <x:v>Conteúdo</x:v>
      </x:c>
      <x:c r="D16" s="15" t="str">
        <x:v>Receber respostas de Coatio</x:v>
      </x:c>
      <x:c r="E16" s="15" t="str">
        <x:v>Arthur + Coatio</x:v>
      </x:c>
      <x:c r="F16" s="16"/>
      <x:c r="G16" s="20" t="n">
        <x:v>-32</x:v>
      </x:c>
      <x:c r="H16" s="20" t="n">
        <x:v>-29</x:v>
      </x:c>
      <x:c r="I16" s="21" t="n">
        <x:f>IF(ISNUMBER(G16),'Visão'!$B$6+G16,"")</x:f>
        <x:v>46280</x:v>
      </x:c>
      <x:c r="J16" s="21" t="n">
        <x:f>IF(ISNUMBER(H16),'Visão'!$B$6+H16,"")</x:f>
        <x:v>46283</x:v>
      </x:c>
      <x:c r="K16" s="16" t="str">
        <x:v>EVT-009</x:v>
      </x:c>
      <x:c r="L16" s="16"/>
      <x:c r="M16" s="16"/>
      <x:c r="N16" s="16" t="str">
        <x:v>Não iniciado</x:v>
      </x:c>
      <x:c r="O16" s="15" t="str">
        <x:f>IF(N16="Não se aplica","Não se aplica",IF(N16="Concluído",IF(Q16="","Falta evidência",IF(R16&gt;0,"Revisar dependências","Concluído")),IF(N16="Bloqueado","Bloqueado",IF(J16="","Sem prazo",IF(J16&lt;'Visão'!$B$7,"Atrasado",IF(J16='Visão'!$B$7,"Hoje",IF(R16&gt;0,"Dependência pendente",IF(F16="","Sem responsável","No prazo"))))))))</x:f>
        <x:v>Dependência pendente</x:v>
      </x:c>
      <x:c r="P16" s="15" t="str">
        <x:v>Título, resumo, demo CARANGA, necessidades e alternativa offline informados.</x:v>
      </x:c>
      <x:c r="Q16" s="16"/>
      <x:c r="R16" s="15" t="n">
        <x:f>IF(K16="",0,IF(COUNTIFS($A$6:$A$65,K16,$N$6:$N$65,"Concluído")+COUNTIFS($A$6:$A$65,K16,$N$6:$N$65,"Não se aplica")&gt;0,0,1))+IF(L16="",0,IF(COUNTIFS($A$6:$A$65,L16,$N$6:$N$65,"Concluído")+COUNTIFS($A$6:$A$65,L16,$N$6:$N$65,"Não se aplica")&gt;0,0,1))+IF(M16="",0,IF(COUNTIFS($A$6:$A$65,M16,$N$6:$N$65,"Concluído")+COUNTIFS($A$6:$A$65,M16,$N$6:$N$65,"Não se aplica")&gt;0,0,1))</x:f>
        <x:v>1</x:v>
      </x:c>
    </x:row>
    <x:row r="17" ht="63" customHeight="1">
      <x:c r="A17" s="15" t="str">
        <x:v>EVT-012</x:v>
      </x:c>
      <x:c r="B17" s="15" t="str">
        <x:v>P0</x:v>
      </x:c>
      <x:c r="C17" s="15" t="str">
        <x:v>Conteúdo</x:v>
      </x:c>
      <x:c r="D17" s="15" t="str">
        <x:v>Validar sinopses e duração das duas falas</x:v>
      </x:c>
      <x:c r="E17" s="15" t="str">
        <x:v>Arthur</x:v>
      </x:c>
      <x:c r="F17" s="16"/>
      <x:c r="G17" s="20" t="n">
        <x:v>-29</x:v>
      </x:c>
      <x:c r="H17" s="20" t="n">
        <x:v>-27</x:v>
      </x:c>
      <x:c r="I17" s="21" t="n">
        <x:f>IF(ISNUMBER(G17),'Visão'!$B$6+G17,"")</x:f>
        <x:v>46283</x:v>
      </x:c>
      <x:c r="J17" s="21" t="n">
        <x:f>IF(ISNUMBER(H17),'Visão'!$B$6+H17,"")</x:f>
        <x:v>46285</x:v>
      </x:c>
      <x:c r="K17" s="16" t="str">
        <x:v>EVT-010</x:v>
      </x:c>
      <x:c r="L17" s="16" t="str">
        <x:v>EVT-011</x:v>
      </x:c>
      <x:c r="M17" s="16"/>
      <x:c r="N17" s="16" t="str">
        <x:v>Não iniciado</x:v>
      </x:c>
      <x:c r="O17" s="15" t="str">
        <x:f>IF(N17="Não se aplica","Não se aplica",IF(N17="Concluído",IF(Q17="","Falta evidência",IF(R17&gt;0,"Revisar dependências","Concluído")),IF(N17="Bloqueado","Bloqueado",IF(J17="","Sem prazo",IF(J17&lt;'Visão'!$B$7,"Atrasado",IF(J17='Visão'!$B$7,"Hoje",IF(R17&gt;0,"Dependência pendente",IF(F17="","Sem responsável","No prazo"))))))))</x:f>
        <x:v>Dependência pendente</x:v>
      </x:c>
      <x:c r="P17" s="15" t="str">
        <x:v>Ambos aceitam sinopse, 25 min de conteúdo/demo e 15 min de perguntas.</x:v>
      </x:c>
      <x:c r="Q17" s="16"/>
      <x:c r="R17" s="15" t="n">
        <x:f>IF(K17="",0,IF(COUNTIFS($A$6:$A$65,K17,$N$6:$N$65,"Concluído")+COUNTIFS($A$6:$A$65,K17,$N$6:$N$65,"Não se aplica")&gt;0,0,1))+IF(L17="",0,IF(COUNTIFS($A$6:$A$65,L17,$N$6:$N$65,"Concluído")+COUNTIFS($A$6:$A$65,L17,$N$6:$N$65,"Não se aplica")&gt;0,0,1))+IF(M17="",0,IF(COUNTIFS($A$6:$A$65,M17,$N$6:$N$65,"Concluído")+COUNTIFS($A$6:$A$65,M17,$N$6:$N$65,"Não se aplica")&gt;0,0,1))</x:f>
        <x:v>2</x:v>
      </x:c>
    </x:row>
    <x:row r="18" ht="63" customHeight="1">
      <x:c r="A18" s="15" t="str">
        <x:v>EVT-013</x:v>
      </x:c>
      <x:c r="B18" s="15" t="str">
        <x:v>P0</x:v>
      </x:c>
      <x:c r="C18" s="15" t="str">
        <x:v>Alimentação</x:v>
      </x:c>
      <x:c r="D18" s="15" t="str">
        <x:v>Definir menu, rendimento e itens já disponíveis</x:v>
      </x:c>
      <x:c r="E18" s="15" t="str">
        <x:v>Henrique + preparo</x:v>
      </x:c>
      <x:c r="F18" s="16"/>
      <x:c r="G18" s="20" t="n">
        <x:v>-33</x:v>
      </x:c>
      <x:c r="H18" s="20" t="n">
        <x:v>-27</x:v>
      </x:c>
      <x:c r="I18" s="21" t="n">
        <x:f>IF(ISNUMBER(G18),'Visão'!$B$6+G18,"")</x:f>
        <x:v>46279</x:v>
      </x:c>
      <x:c r="J18" s="21" t="n">
        <x:f>IF(ISNUMBER(H18),'Visão'!$B$6+H18,"")</x:f>
        <x:v>46285</x:v>
      </x:c>
      <x:c r="K18" s="16" t="str">
        <x:v>EVT-004</x:v>
      </x:c>
      <x:c r="L18" s="16" t="str">
        <x:v>EVT-006</x:v>
      </x:c>
      <x:c r="M18" s="16"/>
      <x:c r="N18" s="16" t="str">
        <x:v>Não iniciado</x:v>
      </x:c>
      <x:c r="O18" s="15" t="str">
        <x:f>IF(N18="Não se aplica","Não se aplica",IF(N18="Concluído",IF(Q18="","Falta evidência",IF(R18&gt;0,"Revisar dependências","Concluído")),IF(N18="Bloqueado","Bloqueado",IF(J18="","Sem prazo",IF(J18&lt;'Visão'!$B$7,"Atrasado",IF(J18='Visão'!$B$7,"Hoje",IF(R18&gt;0,"Dependência pendente",IF(F18="","Sem responsável","No prazo"))))))))</x:f>
        <x:v>Dependência pendente</x:v>
      </x:c>
      <x:c r="P18" s="15" t="str">
        <x:v>Menu de almoço/lanche e quantidade por pessoa definidos com recursos existentes.</x:v>
      </x:c>
      <x:c r="Q18" s="16"/>
      <x:c r="R18" s="15" t="n">
        <x:f>IF(K18="",0,IF(COUNTIFS($A$6:$A$65,K18,$N$6:$N$65,"Concluído")+COUNTIFS($A$6:$A$65,K18,$N$6:$N$65,"Não se aplica")&gt;0,0,1))+IF(L18="",0,IF(COUNTIFS($A$6:$A$65,L18,$N$6:$N$65,"Concluído")+COUNTIFS($A$6:$A$65,L18,$N$6:$N$65,"Não se aplica")&gt;0,0,1))+IF(M18="",0,IF(COUNTIFS($A$6:$A$65,M18,$N$6:$N$65,"Concluído")+COUNTIFS($A$6:$A$65,M18,$N$6:$N$65,"Não se aplica")&gt;0,0,1))</x:f>
        <x:v>2</x:v>
      </x:c>
    </x:row>
    <x:row r="19" ht="63" customHeight="1">
      <x:c r="A19" s="15" t="str">
        <x:v>EVT-014</x:v>
      </x:c>
      <x:c r="B19" s="15" t="str">
        <x:v>P0</x:v>
      </x:c>
      <x:c r="C19" s="15" t="str">
        <x:v>Alimentação</x:v>
      </x:c>
      <x:c r="D19" s="15" t="str">
        <x:v>Cotar ingredientes, bebidas e consumíveis</x:v>
      </x:c>
      <x:c r="E19" s="15" t="str">
        <x:v>Henrique</x:v>
      </x:c>
      <x:c r="F19" s="16"/>
      <x:c r="G19" s="20" t="n">
        <x:v>-33</x:v>
      </x:c>
      <x:c r="H19" s="20" t="n">
        <x:v>-27</x:v>
      </x:c>
      <x:c r="I19" s="21" t="n">
        <x:f>IF(ISNUMBER(G19),'Visão'!$B$6+G19,"")</x:f>
        <x:v>46279</x:v>
      </x:c>
      <x:c r="J19" s="21" t="n">
        <x:f>IF(ISNUMBER(H19),'Visão'!$B$6+H19,"")</x:f>
        <x:v>46285</x:v>
      </x:c>
      <x:c r="K19" s="16" t="str">
        <x:v>EVT-013</x:v>
      </x:c>
      <x:c r="L19" s="16" t="str">
        <x:v>EVT-003</x:v>
      </x:c>
      <x:c r="M19" s="16"/>
      <x:c r="N19" s="16" t="str">
        <x:v>Não iniciado</x:v>
      </x:c>
      <x:c r="O19" s="15" t="str">
        <x:f>IF(N19="Não se aplica","Não se aplica",IF(N19="Concluído",IF(Q19="","Falta evidência",IF(R19&gt;0,"Revisar dependências","Concluído")),IF(N19="Bloqueado","Bloqueado",IF(J19="","Sem prazo",IF(J19&lt;'Visão'!$B$7,"Atrasado",IF(J19='Visão'!$B$7,"Hoje",IF(R19&gt;0,"Dependência pendente",IF(F19="","Sem responsável","No prazo"))))))))</x:f>
        <x:v>Dependência pendente</x:v>
      </x:c>
      <x:c r="P19" s="15" t="str">
        <x:v>Valores reais registrados com data e fonte. Total compatível com teto e reserva.</x:v>
      </x:c>
      <x:c r="Q19" s="16"/>
      <x:c r="R19" s="15" t="n">
        <x:f>IF(K19="",0,IF(COUNTIFS($A$6:$A$65,K19,$N$6:$N$65,"Concluído")+COUNTIFS($A$6:$A$65,K19,$N$6:$N$65,"Não se aplica")&gt;0,0,1))+IF(L19="",0,IF(COUNTIFS($A$6:$A$65,L19,$N$6:$N$65,"Concluído")+COUNTIFS($A$6:$A$65,L19,$N$6:$N$65,"Não se aplica")&gt;0,0,1))+IF(M19="",0,IF(COUNTIFS($A$6:$A$65,M19,$N$6:$N$65,"Concluído")+COUNTIFS($A$6:$A$65,M19,$N$6:$N$65,"Não se aplica")&gt;0,0,1))</x:f>
        <x:v>2</x:v>
      </x:c>
    </x:row>
    <x:row r="20" ht="63" customHeight="1">
      <x:c r="A20" s="15" t="str">
        <x:v>EVT-015</x:v>
      </x:c>
      <x:c r="B20" s="15" t="str">
        <x:v>P0</x:v>
      </x:c>
      <x:c r="C20" s="15" t="str">
        <x:v>Alimentação</x:v>
      </x:c>
      <x:c r="D20" s="15" t="str">
        <x:v>Validar prazo real para fechar compras e preparo</x:v>
      </x:c>
      <x:c r="E20" s="15" t="str">
        <x:v>Henrique + preparo</x:v>
      </x:c>
      <x:c r="F20" s="16"/>
      <x:c r="G20" s="20" t="n">
        <x:v>-33</x:v>
      </x:c>
      <x:c r="H20" s="20" t="n">
        <x:v>-27</x:v>
      </x:c>
      <x:c r="I20" s="21" t="n">
        <x:f>IF(ISNUMBER(G20),'Visão'!$B$6+G20,"")</x:f>
        <x:v>46279</x:v>
      </x:c>
      <x:c r="J20" s="21" t="n">
        <x:f>IF(ISNUMBER(H20),'Visão'!$B$6+H20,"")</x:f>
        <x:v>46285</x:v>
      </x:c>
      <x:c r="K20" s="16" t="str">
        <x:v>EVT-013</x:v>
      </x:c>
      <x:c r="L20" s="16"/>
      <x:c r="M20" s="16"/>
      <x:c r="N20" s="16" t="str">
        <x:v>Não iniciado</x:v>
      </x:c>
      <x:c r="O20" s="15" t="str">
        <x:f>IF(N20="Não se aplica","Não se aplica",IF(N20="Concluído",IF(Q20="","Falta evidência",IF(R20&gt;0,"Revisar dependências","Concluído")),IF(N20="Bloqueado","Bloqueado",IF(J20="","Sem prazo",IF(J20&lt;'Visão'!$B$7,"Atrasado",IF(J20='Visão'!$B$7,"Hoje",IF(R20&gt;0,"Dependência pendente",IF(F20="","Sem responsável","No prazo"))))))))</x:f>
        <x:v>Dependência pendente</x:v>
      </x:c>
      <x:c r="P20" s="15" t="str">
        <x:v>Antecedência confirmada. Ajustar corte de confirmações se precisar antecipar 12/10.</x:v>
      </x:c>
      <x:c r="Q20" s="16"/>
      <x:c r="R20" s="15" t="n">
        <x:f>IF(K20="",0,IF(COUNTIFS($A$6:$A$65,K20,$N$6:$N$65,"Concluído")+COUNTIFS($A$6:$A$65,K20,$N$6:$N$65,"Não se aplica")&gt;0,0,1))+IF(L20="",0,IF(COUNTIFS($A$6:$A$65,L20,$N$6:$N$65,"Concluído")+COUNTIFS($A$6:$A$65,L20,$N$6:$N$65,"Não se aplica")&gt;0,0,1))+IF(M20="",0,IF(COUNTIFS($A$6:$A$65,M20,$N$6:$N$65,"Concluído")+COUNTIFS($A$6:$A$65,M20,$N$6:$N$65,"Não se aplica")&gt;0,0,1))</x:f>
        <x:v>1</x:v>
      </x:c>
    </x:row>
    <x:row r="21" ht="63" customHeight="1">
      <x:c r="A21" s="15" t="str">
        <x:v>EVT-016</x:v>
      </x:c>
      <x:c r="B21" s="15" t="str">
        <x:v>P0</x:v>
      </x:c>
      <x:c r="C21" s="15" t="str">
        <x:v>Alimentação</x:v>
      </x:c>
      <x:c r="D21" s="15" t="str">
        <x:v>Definir transporte, conservação e serviço</x:v>
      </x:c>
      <x:c r="E21" s="15" t="str">
        <x:v>Preparo + apoio a definir</x:v>
      </x:c>
      <x:c r="F21" s="16"/>
      <x:c r="G21" s="20" t="n">
        <x:v>-27</x:v>
      </x:c>
      <x:c r="H21" s="20" t="n">
        <x:v>-20</x:v>
      </x:c>
      <x:c r="I21" s="21" t="n">
        <x:f>IF(ISNUMBER(G21),'Visão'!$B$6+G21,"")</x:f>
        <x:v>46285</x:v>
      </x:c>
      <x:c r="J21" s="21" t="n">
        <x:f>IF(ISNUMBER(H21),'Visão'!$B$6+H21,"")</x:f>
        <x:v>46292</x:v>
      </x:c>
      <x:c r="K21" s="16" t="str">
        <x:v>EVT-004</x:v>
      </x:c>
      <x:c r="L21" s="16" t="str">
        <x:v>EVT-013</x:v>
      </x:c>
      <x:c r="M21" s="16"/>
      <x:c r="N21" s="16" t="str">
        <x:v>Não iniciado</x:v>
      </x:c>
      <x:c r="O21" s="15" t="str">
        <x:f>IF(N21="Não se aplica","Não se aplica",IF(N21="Concluído",IF(Q21="","Falta evidência",IF(R21&gt;0,"Revisar dependências","Concluído")),IF(N21="Bloqueado","Bloqueado",IF(J21="","Sem prazo",IF(J21&lt;'Visão'!$B$7,"Atrasado",IF(J21='Visão'!$B$7,"Hoje",IF(R21&gt;0,"Dependência pendente",IF(F21="","Sem responsável","No prazo"))))))))</x:f>
        <x:v>Dependência pendente</x:v>
      </x:c>
      <x:c r="P21" s="15" t="str">
        <x:v>Responsáveis, utensílios, armazenamento e sequência de serviço acordados.</x:v>
      </x:c>
      <x:c r="Q21" s="16"/>
      <x:c r="R21" s="15" t="n">
        <x:f>IF(K21="",0,IF(COUNTIFS($A$6:$A$65,K21,$N$6:$N$65,"Concluído")+COUNTIFS($A$6:$A$65,K21,$N$6:$N$65,"Não se aplica")&gt;0,0,1))+IF(L21="",0,IF(COUNTIFS($A$6:$A$65,L21,$N$6:$N$65,"Concluído")+COUNTIFS($A$6:$A$65,L21,$N$6:$N$65,"Não se aplica")&gt;0,0,1))+IF(M21="",0,IF(COUNTIFS($A$6:$A$65,M21,$N$6:$N$65,"Concluído")+COUNTIFS($A$6:$A$65,M21,$N$6:$N$65,"Não se aplica")&gt;0,0,1))</x:f>
        <x:v>2</x:v>
      </x:c>
    </x:row>
    <x:row r="22" ht="63" customHeight="1">
      <x:c r="A22" s="15" t="str">
        <x:v>EVT-017</x:v>
      </x:c>
      <x:c r="B22" s="15" t="str">
        <x:v>P0</x:v>
      </x:c>
      <x:c r="C22" s="15" t="str">
        <x:v>Infraestrutura</x:v>
      </x:c>
      <x:c r="D22" s="15" t="str">
        <x:v>Conferir mesas, cadeiras, ventilação e cobertura</x:v>
      </x:c>
      <x:c r="E22" s="15" t="str">
        <x:v>Henrique</x:v>
      </x:c>
      <x:c r="F22" s="16"/>
      <x:c r="G22" s="20" t="n">
        <x:v>-35</x:v>
      </x:c>
      <x:c r="H22" s="20" t="n">
        <x:v>-20</x:v>
      </x:c>
      <x:c r="I22" s="21" t="n">
        <x:f>IF(ISNUMBER(G22),'Visão'!$B$6+G22,"")</x:f>
        <x:v>46277</x:v>
      </x:c>
      <x:c r="J22" s="21" t="n">
        <x:f>IF(ISNUMBER(H22),'Visão'!$B$6+H22,"")</x:f>
        <x:v>46292</x:v>
      </x:c>
      <x:c r="K22" s="16" t="str">
        <x:v>EVT-001</x:v>
      </x:c>
      <x:c r="L22" s="16"/>
      <x:c r="M22" s="16"/>
      <x:c r="N22" s="16" t="str">
        <x:v>Não iniciado</x:v>
      </x:c>
      <x:c r="O22" s="15" t="str">
        <x:f>IF(N22="Não se aplica","Não se aplica",IF(N22="Concluído",IF(Q22="","Falta evidência",IF(R22&gt;0,"Revisar dependências","Concluído")),IF(N22="Bloqueado","Bloqueado",IF(J22="","Sem prazo",IF(J22&lt;'Visão'!$B$7,"Atrasado",IF(J22='Visão'!$B$7,"Hoje",IF(R22&gt;0,"Dependência pendente",IF(F22="","Sem responsável","No prazo"))))))))</x:f>
        <x:v>Dependência pendente</x:v>
      </x:c>
      <x:c r="P22" s="15" t="str">
        <x:v>20 cadeiras alocadas, mesas e espaço coberto viáveis para o público total.</x:v>
      </x:c>
      <x:c r="Q22" s="16"/>
      <x:c r="R22" s="15" t="n">
        <x:f>IF(K22="",0,IF(COUNTIFS($A$6:$A$65,K22,$N$6:$N$65,"Concluído")+COUNTIFS($A$6:$A$65,K22,$N$6:$N$65,"Não se aplica")&gt;0,0,1))+IF(L22="",0,IF(COUNTIFS($A$6:$A$65,L22,$N$6:$N$65,"Concluído")+COUNTIFS($A$6:$A$65,L22,$N$6:$N$65,"Não se aplica")&gt;0,0,1))+IF(M22="",0,IF(COUNTIFS($A$6:$A$65,M22,$N$6:$N$65,"Concluído")+COUNTIFS($A$6:$A$65,M22,$N$6:$N$65,"Não se aplica")&gt;0,0,1))</x:f>
        <x:v>1</x:v>
      </x:c>
    </x:row>
    <x:row r="23" ht="63" customHeight="1">
      <x:c r="A23" s="15" t="str">
        <x:v>EVT-018</x:v>
      </x:c>
      <x:c r="B23" s="15" t="str">
        <x:v>P0</x:v>
      </x:c>
      <x:c r="C23" s="15" t="str">
        <x:v>Infraestrutura</x:v>
      </x:c>
      <x:c r="D23" s="15" t="str">
        <x:v>Confirmar empréstimo de projeção ou TV e notebook</x:v>
      </x:c>
      <x:c r="E23" s="15" t="str">
        <x:v>Henrique + técnica a definir</x:v>
      </x:c>
      <x:c r="F23" s="16"/>
      <x:c r="G23" s="20" t="n">
        <x:v>-33</x:v>
      </x:c>
      <x:c r="H23" s="20" t="n">
        <x:v>-20</x:v>
      </x:c>
      <x:c r="I23" s="21" t="n">
        <x:f>IF(ISNUMBER(G23),'Visão'!$B$6+G23,"")</x:f>
        <x:v>46279</x:v>
      </x:c>
      <x:c r="J23" s="21" t="n">
        <x:f>IF(ISNUMBER(H23),'Visão'!$B$6+H23,"")</x:f>
        <x:v>46292</x:v>
      </x:c>
      <x:c r="K23" s="16" t="str">
        <x:v>EVT-001</x:v>
      </x:c>
      <x:c r="L23" s="16" t="str">
        <x:v>EVT-010</x:v>
      </x:c>
      <x:c r="M23" s="16" t="str">
        <x:v>EVT-011</x:v>
      </x:c>
      <x:c r="N23" s="16" t="str">
        <x:v>Não iniciado</x:v>
      </x:c>
      <x:c r="O23" s="15" t="str">
        <x:f>IF(N23="Não se aplica","Não se aplica",IF(N23="Concluído",IF(Q23="","Falta evidência",IF(R23&gt;0,"Revisar dependências","Concluído")),IF(N23="Bloqueado","Bloqueado",IF(J23="","Sem prazo",IF(J23&lt;'Visão'!$B$7,"Atrasado",IF(J23='Visão'!$B$7,"Hoje",IF(R23&gt;0,"Dependência pendente",IF(F23="","Sem responsável","No prazo"))))))))</x:f>
        <x:v>Dependência pendente</x:v>
      </x:c>
      <x:c r="P23" s="15" t="str">
        <x:v>Equipamentos e quem entrega/devolve confirmados. Nenhum preço presumido zero.</x:v>
      </x:c>
      <x:c r="Q23" s="16"/>
      <x:c r="R23" s="15" t="n">
        <x:f>IF(K23="",0,IF(COUNTIFS($A$6:$A$65,K23,$N$6:$N$65,"Concluído")+COUNTIFS($A$6:$A$65,K23,$N$6:$N$65,"Não se aplica")&gt;0,0,1))+IF(L23="",0,IF(COUNTIFS($A$6:$A$65,L23,$N$6:$N$65,"Concluído")+COUNTIFS($A$6:$A$65,L23,$N$6:$N$65,"Não se aplica")&gt;0,0,1))+IF(M23="",0,IF(COUNTIFS($A$6:$A$65,M23,$N$6:$N$65,"Concluído")+COUNTIFS($A$6:$A$65,M23,$N$6:$N$65,"Não se aplica")&gt;0,0,1))</x:f>
        <x:v>3</x:v>
      </x:c>
    </x:row>
    <x:row r="24" ht="63" customHeight="1">
      <x:c r="A24" s="15" t="str">
        <x:v>EVT-019</x:v>
      </x:c>
      <x:c r="B24" s="15" t="str">
        <x:v>P0</x:v>
      </x:c>
      <x:c r="C24" s="15" t="str">
        <x:v>Infraestrutura</x:v>
      </x:c>
      <x:c r="D24" s="15" t="str">
        <x:v>Separar e testar cabos e adaptadores reais</x:v>
      </x:c>
      <x:c r="E24" s="15" t="str">
        <x:v>Técnica a definir</x:v>
      </x:c>
      <x:c r="F24" s="16"/>
      <x:c r="G24" s="20" t="n">
        <x:v>-27</x:v>
      </x:c>
      <x:c r="H24" s="20" t="n">
        <x:v>-20</x:v>
      </x:c>
      <x:c r="I24" s="21" t="n">
        <x:f>IF(ISNUMBER(G24),'Visão'!$B$6+G24,"")</x:f>
        <x:v>46285</x:v>
      </x:c>
      <x:c r="J24" s="21" t="n">
        <x:f>IF(ISNUMBER(H24),'Visão'!$B$6+H24,"")</x:f>
        <x:v>46292</x:v>
      </x:c>
      <x:c r="K24" s="16" t="str">
        <x:v>EVT-018</x:v>
      </x:c>
      <x:c r="L24" s="16"/>
      <x:c r="M24" s="16"/>
      <x:c r="N24" s="16" t="str">
        <x:v>Não iniciado</x:v>
      </x:c>
      <x:c r="O24" s="15" t="str">
        <x:f>IF(N24="Não se aplica","Não se aplica",IF(N24="Concluído",IF(Q24="","Falta evidência",IF(R24&gt;0,"Revisar dependências","Concluído")),IF(N24="Bloqueado","Bloqueado",IF(J24="","Sem prazo",IF(J24&lt;'Visão'!$B$7,"Atrasado",IF(J24='Visão'!$B$7,"Hoje",IF(R24&gt;0,"Dependência pendente",IF(F24="","Sem responsável","No prazo"))))))))</x:f>
        <x:v>Dependência pendente</x:v>
      </x:c>
      <x:c r="P24" s="15" t="str">
        <x:v>Notebook, HDMI/USB-C, energia e tela conectados com sucesso.</x:v>
      </x:c>
      <x:c r="Q24" s="16"/>
      <x:c r="R24" s="15" t="n">
        <x:f>IF(K24="",0,IF(COUNTIFS($A$6:$A$65,K24,$N$6:$N$65,"Concluído")+COUNTIFS($A$6:$A$65,K24,$N$6:$N$65,"Não se aplica")&gt;0,0,1))+IF(L24="",0,IF(COUNTIFS($A$6:$A$65,L24,$N$6:$N$65,"Concluído")+COUNTIFS($A$6:$A$65,L24,$N$6:$N$65,"Não se aplica")&gt;0,0,1))+IF(M24="",0,IF(COUNTIFS($A$6:$A$65,M24,$N$6:$N$65,"Concluído")+COUNTIFS($A$6:$A$65,M24,$N$6:$N$65,"Não se aplica")&gt;0,0,1))</x:f>
        <x:v>1</x:v>
      </x:c>
    </x:row>
    <x:row r="25" ht="63" customHeight="1">
      <x:c r="A25" s="15" t="str">
        <x:v>EVT-020</x:v>
      </x:c>
      <x:c r="B25" s="15" t="str">
        <x:v>P0</x:v>
      </x:c>
      <x:c r="C25" s="15" t="str">
        <x:v>Infraestrutura</x:v>
      </x:c>
      <x:c r="D25" s="15" t="str">
        <x:v>Testar internet, áudio e alternativa offline</x:v>
      </x:c>
      <x:c r="E25" s="15" t="str">
        <x:v>Técnica a definir</x:v>
      </x:c>
      <x:c r="F25" s="16"/>
      <x:c r="G25" s="20" t="n">
        <x:v>-27</x:v>
      </x:c>
      <x:c r="H25" s="20" t="n">
        <x:v>-20</x:v>
      </x:c>
      <x:c r="I25" s="21" t="n">
        <x:f>IF(ISNUMBER(G25),'Visão'!$B$6+G25,"")</x:f>
        <x:v>46285</x:v>
      </x:c>
      <x:c r="J25" s="21" t="n">
        <x:f>IF(ISNUMBER(H25),'Visão'!$B$6+H25,"")</x:f>
        <x:v>46292</x:v>
      </x:c>
      <x:c r="K25" s="16" t="str">
        <x:v>EVT-018</x:v>
      </x:c>
      <x:c r="L25" s="16" t="str">
        <x:v>EVT-010</x:v>
      </x:c>
      <x:c r="M25" s="16" t="str">
        <x:v>EVT-011</x:v>
      </x:c>
      <x:c r="N25" s="16" t="str">
        <x:v>Não iniciado</x:v>
      </x:c>
      <x:c r="O25" s="15" t="str">
        <x:f>IF(N25="Não se aplica","Não se aplica",IF(N25="Concluído",IF(Q25="","Falta evidência",IF(R25&gt;0,"Revisar dependências","Concluído")),IF(N25="Bloqueado","Bloqueado",IF(J25="","Sem prazo",IF(J25&lt;'Visão'!$B$7,"Atrasado",IF(J25='Visão'!$B$7,"Hoje",IF(R25&gt;0,"Dependência pendente",IF(F25="","Sem responsável","No prazo"))))))))</x:f>
        <x:v>Dependência pendente</x:v>
      </x:c>
      <x:c r="P25" s="15" t="str">
        <x:v>Teste concluído e plano de continuidade das duas falas sem internet definido.</x:v>
      </x:c>
      <x:c r="Q25" s="16"/>
      <x:c r="R25" s="15" t="n">
        <x:f>IF(K25="",0,IF(COUNTIFS($A$6:$A$65,K25,$N$6:$N$65,"Concluído")+COUNTIFS($A$6:$A$65,K25,$N$6:$N$65,"Não se aplica")&gt;0,0,1))+IF(L25="",0,IF(COUNTIFS($A$6:$A$65,L25,$N$6:$N$65,"Concluído")+COUNTIFS($A$6:$A$65,L25,$N$6:$N$65,"Não se aplica")&gt;0,0,1))+IF(M25="",0,IF(COUNTIFS($A$6:$A$65,M25,$N$6:$N$65,"Concluído")+COUNTIFS($A$6:$A$65,M25,$N$6:$N$65,"Não se aplica")&gt;0,0,1))</x:f>
        <x:v>3</x:v>
      </x:c>
    </x:row>
    <x:row r="26" ht="63" customHeight="1">
      <x:c r="A26" s="15" t="str">
        <x:v>EVT-021</x:v>
      </x:c>
      <x:c r="B26" s="15" t="str">
        <x:v>P0</x:v>
      </x:c>
      <x:c r="C26" s="15" t="str">
        <x:v>Infraestrutura</x:v>
      </x:c>
      <x:c r="D26" s="15" t="str">
        <x:v>Organizar energia e circulação segura</x:v>
      </x:c>
      <x:c r="E26" s="15" t="str">
        <x:v>Henrique + técnica a definir</x:v>
      </x:c>
      <x:c r="F26" s="16"/>
      <x:c r="G26" s="20" t="n">
        <x:v>-27</x:v>
      </x:c>
      <x:c r="H26" s="20" t="n">
        <x:v>-20</x:v>
      </x:c>
      <x:c r="I26" s="21" t="n">
        <x:f>IF(ISNUMBER(G26),'Visão'!$B$6+G26,"")</x:f>
        <x:v>46285</x:v>
      </x:c>
      <x:c r="J26" s="21" t="n">
        <x:f>IF(ISNUMBER(H26),'Visão'!$B$6+H26,"")</x:f>
        <x:v>46292</x:v>
      </x:c>
      <x:c r="K26" s="16" t="str">
        <x:v>EVT-017</x:v>
      </x:c>
      <x:c r="L26" s="16" t="str">
        <x:v>EVT-019</x:v>
      </x:c>
      <x:c r="M26" s="16"/>
      <x:c r="N26" s="16" t="str">
        <x:v>Não iniciado</x:v>
      </x:c>
      <x:c r="O26" s="15" t="str">
        <x:f>IF(N26="Não se aplica","Não se aplica",IF(N26="Concluído",IF(Q26="","Falta evidência",IF(R26&gt;0,"Revisar dependências","Concluído")),IF(N26="Bloqueado","Bloqueado",IF(J26="","Sem prazo",IF(J26&lt;'Visão'!$B$7,"Atrasado",IF(J26='Visão'!$B$7,"Hoje",IF(R26&gt;0,"Dependência pendente",IF(F26="","Sem responsável","No prazo"))))))))</x:f>
        <x:v>Dependência pendente</x:v>
      </x:c>
      <x:c r="P26" s="15" t="str">
        <x:v>Extensões e equipamentos posicionados sem bloquear passagem.</x:v>
      </x:c>
      <x:c r="Q26" s="16"/>
      <x:c r="R26" s="15" t="n">
        <x:f>IF(K26="",0,IF(COUNTIFS($A$6:$A$65,K26,$N$6:$N$65,"Concluído")+COUNTIFS($A$6:$A$65,K26,$N$6:$N$65,"Não se aplica")&gt;0,0,1))+IF(L26="",0,IF(COUNTIFS($A$6:$A$65,L26,$N$6:$N$65,"Concluído")+COUNTIFS($A$6:$A$65,L26,$N$6:$N$65,"Não se aplica")&gt;0,0,1))+IF(M26="",0,IF(COUNTIFS($A$6:$A$65,M26,$N$6:$N$65,"Concluído")+COUNTIFS($A$6:$A$65,M26,$N$6:$N$65,"Não se aplica")&gt;0,0,1))</x:f>
        <x:v>2</x:v>
      </x:c>
    </x:row>
    <x:row r="27" ht="63" customHeight="1">
      <x:c r="A27" s="15" t="str">
        <x:v>EVT-022</x:v>
      </x:c>
      <x:c r="B27" s="15" t="str">
        <x:v>P0</x:v>
      </x:c>
      <x:c r="C27" s="15" t="str">
        <x:v>Público</x:v>
      </x:c>
      <x:c r="D27" s="15" t="str">
        <x:v>Definir canal restrito da lista e responsável</x:v>
      </x:c>
      <x:c r="E27" s="15" t="str">
        <x:v>Arthur + recepção a definir</x:v>
      </x:c>
      <x:c r="F27" s="16"/>
      <x:c r="G27" s="20" t="n">
        <x:v>-33</x:v>
      </x:c>
      <x:c r="H27" s="20" t="n">
        <x:v>-27</x:v>
      </x:c>
      <x:c r="I27" s="21" t="n">
        <x:f>IF(ISNUMBER(G27),'Visão'!$B$6+G27,"")</x:f>
        <x:v>46279</x:v>
      </x:c>
      <x:c r="J27" s="21" t="n">
        <x:f>IF(ISNUMBER(H27),'Visão'!$B$6+H27,"")</x:f>
        <x:v>46285</x:v>
      </x:c>
      <x:c r="K27" s="16" t="str">
        <x:v>EVT-005</x:v>
      </x:c>
      <x:c r="L27" s="16" t="str">
        <x:v>EVT-006</x:v>
      </x:c>
      <x:c r="M27" s="16"/>
      <x:c r="N27" s="16" t="str">
        <x:v>Não iniciado</x:v>
      </x:c>
      <x:c r="O27" s="15" t="str">
        <x:f>IF(N27="Não se aplica","Não se aplica",IF(N27="Concluído",IF(Q27="","Falta evidência",IF(R27&gt;0,"Revisar dependências","Concluído")),IF(N27="Bloqueado","Bloqueado",IF(J27="","Sem prazo",IF(J27&lt;'Visão'!$B$7,"Atrasado",IF(J27='Visão'!$B$7,"Hoje",IF(R27&gt;0,"Dependência pendente",IF(F27="","Sem responsável","No prazo"))))))))</x:f>
        <x:v>Dependência pendente</x:v>
      </x:c>
      <x:c r="P27" s="15" t="str">
        <x:v>Um controle único, responsável aceito e dados nominais fora do repositório.</x:v>
      </x:c>
      <x:c r="Q27" s="16"/>
      <x:c r="R27" s="15" t="n">
        <x:f>IF(K27="",0,IF(COUNTIFS($A$6:$A$65,K27,$N$6:$N$65,"Concluído")+COUNTIFS($A$6:$A$65,K27,$N$6:$N$65,"Não se aplica")&gt;0,0,1))+IF(L27="",0,IF(COUNTIFS($A$6:$A$65,L27,$N$6:$N$65,"Concluído")+COUNTIFS($A$6:$A$65,L27,$N$6:$N$65,"Não se aplica")&gt;0,0,1))+IF(M27="",0,IF(COUNTIFS($A$6:$A$65,M27,$N$6:$N$65,"Concluído")+COUNTIFS($A$6:$A$65,M27,$N$6:$N$65,"Não se aplica")&gt;0,0,1))</x:f>
        <x:v>2</x:v>
      </x:c>
    </x:row>
    <x:row r="28" ht="63" customHeight="1">
      <x:c r="A28" s="15" t="str">
        <x:v>EVT-023</x:v>
      </x:c>
      <x:c r="B28" s="15" t="str">
        <x:v>P0</x:v>
      </x:c>
      <x:c r="C28" s="15" t="str">
        <x:v>Público</x:v>
      </x:c>
      <x:c r="D28" s="15" t="str">
        <x:v>Preparar inscrição, reconfirmação e check-in simples</x:v>
      </x:c>
      <x:c r="E28" s="15" t="str">
        <x:v>Recepção a definir</x:v>
      </x:c>
      <x:c r="F28" s="16"/>
      <x:c r="G28" s="20" t="n">
        <x:v>-27</x:v>
      </x:c>
      <x:c r="H28" s="20" t="n">
        <x:v>-26</x:v>
      </x:c>
      <x:c r="I28" s="21" t="n">
        <x:f>IF(ISNUMBER(G28),'Visão'!$B$6+G28,"")</x:f>
        <x:v>46285</x:v>
      </x:c>
      <x:c r="J28" s="21" t="n">
        <x:f>IF(ISNUMBER(H28),'Visão'!$B$6+H28,"")</x:f>
        <x:v>46286</x:v>
      </x:c>
      <x:c r="K28" s="16" t="str">
        <x:v>EVT-022</x:v>
      </x:c>
      <x:c r="L28" s="16" t="str">
        <x:v>EVT-015</x:v>
      </x:c>
      <x:c r="M28" s="16"/>
      <x:c r="N28" s="16" t="str">
        <x:v>Não iniciado</x:v>
      </x:c>
      <x:c r="O28" s="15" t="str">
        <x:f>IF(N28="Não se aplica","Não se aplica",IF(N28="Concluído",IF(Q28="","Falta evidência",IF(R28&gt;0,"Revisar dependências","Concluído")),IF(N28="Bloqueado","Bloqueado",IF(J28="","Sem prazo",IF(J28&lt;'Visão'!$B$7,"Atrasado",IF(J28='Visão'!$B$7,"Hoje",IF(R28&gt;0,"Dependência pendente",IF(F28="","Sem responsável","No prazo"))))))))</x:f>
        <x:v>Dependência pendente</x:v>
      </x:c>
      <x:c r="P28" s="15" t="str">
        <x:v>Etapas distintas, contagem total, corte válido e alternativa por lista preparados.</x:v>
      </x:c>
      <x:c r="Q28" s="16"/>
      <x:c r="R28" s="15" t="n">
        <x:f>IF(K28="",0,IF(COUNTIFS($A$6:$A$65,K28,$N$6:$N$65,"Concluído")+COUNTIFS($A$6:$A$65,K28,$N$6:$N$65,"Não se aplica")&gt;0,0,1))+IF(L28="",0,IF(COUNTIFS($A$6:$A$65,L28,$N$6:$N$65,"Concluído")+COUNTIFS($A$6:$A$65,L28,$N$6:$N$65,"Não se aplica")&gt;0,0,1))+IF(M28="",0,IF(COUNTIFS($A$6:$A$65,M28,$N$6:$N$65,"Concluído")+COUNTIFS($A$6:$A$65,M28,$N$6:$N$65,"Não se aplica")&gt;0,0,1))</x:f>
        <x:v>2</x:v>
      </x:c>
    </x:row>
    <x:row r="29" ht="63" customHeight="1">
      <x:c r="A29" s="15" t="str">
        <x:v>EVT-024</x:v>
      </x:c>
      <x:c r="B29" s="15" t="str">
        <x:v>P1</x:v>
      </x:c>
      <x:c r="C29" s="15" t="str">
        <x:v>Comunicação</x:v>
      </x:c>
      <x:c r="D29" s="15" t="str">
        <x:v>Preparar convite com nome, horário e sinopses</x:v>
      </x:c>
      <x:c r="E29" s="15" t="str">
        <x:v>Arthur</x:v>
      </x:c>
      <x:c r="F29" s="16"/>
      <x:c r="G29" s="20" t="n">
        <x:v>-27</x:v>
      </x:c>
      <x:c r="H29" s="20" t="n">
        <x:v>-26</x:v>
      </x:c>
      <x:c r="I29" s="21" t="n">
        <x:f>IF(ISNUMBER(G29),'Visão'!$B$6+G29,"")</x:f>
        <x:v>46285</x:v>
      </x:c>
      <x:c r="J29" s="21" t="n">
        <x:f>IF(ISNUMBER(H29),'Visão'!$B$6+H29,"")</x:f>
        <x:v>46286</x:v>
      </x:c>
      <x:c r="K29" s="16" t="str">
        <x:v>EVT-002</x:v>
      </x:c>
      <x:c r="L29" s="16" t="str">
        <x:v>EVT-012</x:v>
      </x:c>
      <x:c r="M29" s="16" t="str">
        <x:v>EVT-023</x:v>
      </x:c>
      <x:c r="N29" s="16" t="str">
        <x:v>Não iniciado</x:v>
      </x:c>
      <x:c r="O29" s="15" t="str">
        <x:f>IF(N29="Não se aplica","Não se aplica",IF(N29="Concluído",IF(Q29="","Falta evidência",IF(R29&gt;0,"Revisar dependências","Concluído")),IF(N29="Bloqueado","Bloqueado",IF(J29="","Sem prazo",IF(J29&lt;'Visão'!$B$7,"Atrasado",IF(J29='Visão'!$B$7,"Hoje",IF(R29&gt;0,"Dependência pendente",IF(F29="","Sem responsável","No prazo"))))))))</x:f>
        <x:v>Dependência pendente</x:v>
      </x:c>
      <x:c r="P29" s="15" t="str">
        <x:v>Convite revisado com gratuitidade, total e instruções sem endereço privado público.</x:v>
      </x:c>
      <x:c r="Q29" s="16"/>
      <x:c r="R29" s="15" t="n">
        <x:f>IF(K29="",0,IF(COUNTIFS($A$6:$A$65,K29,$N$6:$N$65,"Concluído")+COUNTIFS($A$6:$A$65,K29,$N$6:$N$65,"Não se aplica")&gt;0,0,1))+IF(L29="",0,IF(COUNTIFS($A$6:$A$65,L29,$N$6:$N$65,"Concluído")+COUNTIFS($A$6:$A$65,L29,$N$6:$N$65,"Não se aplica")&gt;0,0,1))+IF(M29="",0,IF(COUNTIFS($A$6:$A$65,M29,$N$6:$N$65,"Concluído")+COUNTIFS($A$6:$A$65,M29,$N$6:$N$65,"Não se aplica")&gt;0,0,1))</x:f>
        <x:v>3</x:v>
      </x:c>
    </x:row>
    <x:row r="30" ht="63" customHeight="1">
      <x:c r="A30" s="15" t="str">
        <x:v>EVT-025</x:v>
      </x:c>
      <x:c r="B30" s="15" t="str">
        <x:v>P0</x:v>
      </x:c>
      <x:c r="C30" s="15" t="str">
        <x:v>Comunicação</x:v>
      </x:c>
      <x:c r="D30" s="15" t="str">
        <x:v>Liberar convite e confirmação após definições</x:v>
      </x:c>
      <x:c r="E30" s="15" t="str">
        <x:v>Arthur + Henrique</x:v>
      </x:c>
      <x:c r="F30" s="16"/>
      <x:c r="G30" s="20" t="n">
        <x:v>-26</x:v>
      </x:c>
      <x:c r="H30" s="20" t="n">
        <x:v>-26</x:v>
      </x:c>
      <x:c r="I30" s="21" t="n">
        <x:f>IF(ISNUMBER(G30),'Visão'!$B$6+G30,"")</x:f>
        <x:v>46286</x:v>
      </x:c>
      <x:c r="J30" s="21" t="n">
        <x:f>IF(ISNUMBER(H30),'Visão'!$B$6+H30,"")</x:f>
        <x:v>46286</x:v>
      </x:c>
      <x:c r="K30" s="16" t="str">
        <x:v>EVT-024</x:v>
      </x:c>
      <x:c r="L30" s="16" t="str">
        <x:v>EVT-014</x:v>
      </x:c>
      <x:c r="M30" s="16" t="str">
        <x:v>EVT-006</x:v>
      </x:c>
      <x:c r="N30" s="16" t="str">
        <x:v>Não iniciado</x:v>
      </x:c>
      <x:c r="O30" s="15" t="str">
        <x:f>IF(N30="Não se aplica","Não se aplica",IF(N30="Concluído",IF(Q30="","Falta evidência",IF(R30&gt;0,"Revisar dependências","Concluído")),IF(N30="Bloqueado","Bloqueado",IF(J30="","Sem prazo",IF(J30&lt;'Visão'!$B$7,"Atrasado",IF(J30='Visão'!$B$7,"Hoje",IF(R30&gt;0,"Dependência pendente",IF(F30="","Sem responsável","No prazo"))))))))</x:f>
        <x:v>Dependência pendente</x:v>
      </x:c>
      <x:c r="P30" s="15" t="str">
        <x:v>Organizadores aprovam e realizam divulgação. Condicionado a menu/custo viável.</x:v>
      </x:c>
      <x:c r="Q30" s="16"/>
      <x:c r="R30" s="15" t="n">
        <x:f>IF(K30="",0,IF(COUNTIFS($A$6:$A$65,K30,$N$6:$N$65,"Concluído")+COUNTIFS($A$6:$A$65,K30,$N$6:$N$65,"Não se aplica")&gt;0,0,1))+IF(L30="",0,IF(COUNTIFS($A$6:$A$65,L30,$N$6:$N$65,"Concluído")+COUNTIFS($A$6:$A$65,L30,$N$6:$N$65,"Não se aplica")&gt;0,0,1))+IF(M30="",0,IF(COUNTIFS($A$6:$A$65,M30,$N$6:$N$65,"Concluído")+COUNTIFS($A$6:$A$65,M30,$N$6:$N$65,"Não se aplica")&gt;0,0,1))</x:f>
        <x:v>3</x:v>
      </x:c>
    </x:row>
    <x:row r="31" ht="63" customHeight="1">
      <x:c r="A31" s="15" t="str">
        <x:v>EVT-026</x:v>
      </x:c>
      <x:c r="B31" s="15" t="str">
        <x:v>P1</x:v>
      </x:c>
      <x:c r="C31" s="15" t="str">
        <x:v>Comunicação</x:v>
      </x:c>
      <x:c r="D31" s="15" t="str">
        <x:v>Divulgar destaque das palestras</x:v>
      </x:c>
      <x:c r="E31" s="15" t="str">
        <x:v>Arthur</x:v>
      </x:c>
      <x:c r="F31" s="16"/>
      <x:c r="G31" s="20" t="n">
        <x:v>-19</x:v>
      </x:c>
      <x:c r="H31" s="20" t="n">
        <x:v>-19</x:v>
      </x:c>
      <x:c r="I31" s="21" t="n">
        <x:f>IF(ISNUMBER(G31),'Visão'!$B$6+G31,"")</x:f>
        <x:v>46293</x:v>
      </x:c>
      <x:c r="J31" s="21" t="n">
        <x:f>IF(ISNUMBER(H31),'Visão'!$B$6+H31,"")</x:f>
        <x:v>46293</x:v>
      </x:c>
      <x:c r="K31" s="16" t="str">
        <x:v>EVT-025</x:v>
      </x:c>
      <x:c r="L31" s="16"/>
      <x:c r="M31" s="16"/>
      <x:c r="N31" s="16" t="str">
        <x:v>Não iniciado</x:v>
      </x:c>
      <x:c r="O31" s="15" t="str">
        <x:f>IF(N31="Não se aplica","Não se aplica",IF(N31="Concluído",IF(Q31="","Falta evidência",IF(R31&gt;0,"Revisar dependências","Concluído")),IF(N31="Bloqueado","Bloqueado",IF(J31="","Sem prazo",IF(J31&lt;'Visão'!$B$7,"Atrasado",IF(J31='Visão'!$B$7,"Hoje",IF(R31&gt;0,"Dependência pendente",IF(F31="","Sem responsável","No prazo"))))))))</x:f>
        <x:v>Dependência pendente</x:v>
      </x:c>
      <x:c r="P31" s="15" t="str">
        <x:v>Mensagem semanal revisada e enviada pelo responsável no canal definido.</x:v>
      </x:c>
      <x:c r="Q31" s="16"/>
      <x:c r="R31" s="15" t="n">
        <x:f>IF(K31="",0,IF(COUNTIFS($A$6:$A$65,K31,$N$6:$N$65,"Concluído")+COUNTIFS($A$6:$A$65,K31,$N$6:$N$65,"Não se aplica")&gt;0,0,1))+IF(L31="",0,IF(COUNTIFS($A$6:$A$65,L31,$N$6:$N$65,"Concluído")+COUNTIFS($A$6:$A$65,L31,$N$6:$N$65,"Não se aplica")&gt;0,0,1))+IF(M31="",0,IF(COUNTIFS($A$6:$A$65,M31,$N$6:$N$65,"Concluído")+COUNTIFS($A$6:$A$65,M31,$N$6:$N$65,"Não se aplica")&gt;0,0,1))</x:f>
        <x:v>1</x:v>
      </x:c>
    </x:row>
    <x:row r="32" ht="63" customHeight="1">
      <x:c r="A32" s="15" t="str">
        <x:v>EVT-027</x:v>
      </x:c>
      <x:c r="B32" s="15" t="str">
        <x:v>P1</x:v>
      </x:c>
      <x:c r="C32" s="15" t="str">
        <x:v>Comunicação</x:v>
      </x:c>
      <x:c r="D32" s="15" t="str">
        <x:v>Reforçar proposta e reconfirmação</x:v>
      </x:c>
      <x:c r="E32" s="15" t="str">
        <x:v>Arthur</x:v>
      </x:c>
      <x:c r="F32" s="16"/>
      <x:c r="G32" s="20" t="n">
        <x:v>-12</x:v>
      </x:c>
      <x:c r="H32" s="20" t="n">
        <x:v>-12</x:v>
      </x:c>
      <x:c r="I32" s="21" t="n">
        <x:f>IF(ISNUMBER(G32),'Visão'!$B$6+G32,"")</x:f>
        <x:v>46300</x:v>
      </x:c>
      <x:c r="J32" s="21" t="n">
        <x:f>IF(ISNUMBER(H32),'Visão'!$B$6+H32,"")</x:f>
        <x:v>46300</x:v>
      </x:c>
      <x:c r="K32" s="16" t="str">
        <x:v>EVT-025</x:v>
      </x:c>
      <x:c r="L32" s="16" t="str">
        <x:v>EVT-033</x:v>
      </x:c>
      <x:c r="M32" s="16"/>
      <x:c r="N32" s="16" t="str">
        <x:v>Não iniciado</x:v>
      </x:c>
      <x:c r="O32" s="15" t="str">
        <x:f>IF(N32="Não se aplica","Não se aplica",IF(N32="Concluído",IF(Q32="","Falta evidência",IF(R32&gt;0,"Revisar dependências","Concluído")),IF(N32="Bloqueado","Bloqueado",IF(J32="","Sem prazo",IF(J32&lt;'Visão'!$B$7,"Atrasado",IF(J32='Visão'!$B$7,"Hoje",IF(R32&gt;0,"Dependência pendente",IF(F32="","Sem responsável","No prazo"))))))))</x:f>
        <x:v>Dependência pendente</x:v>
      </x:c>
      <x:c r="P32" s="15" t="str">
        <x:v>Mensagem orienta prazo final e respeita o limite total.</x:v>
      </x:c>
      <x:c r="Q32" s="16"/>
      <x:c r="R32" s="15" t="n">
        <x:f>IF(K32="",0,IF(COUNTIFS($A$6:$A$65,K32,$N$6:$N$65,"Concluído")+COUNTIFS($A$6:$A$65,K32,$N$6:$N$65,"Não se aplica")&gt;0,0,1))+IF(L32="",0,IF(COUNTIFS($A$6:$A$65,L32,$N$6:$N$65,"Concluído")+COUNTIFS($A$6:$A$65,L32,$N$6:$N$65,"Não se aplica")&gt;0,0,1))+IF(M32="",0,IF(COUNTIFS($A$6:$A$65,M32,$N$6:$N$65,"Concluído")+COUNTIFS($A$6:$A$65,M32,$N$6:$N$65,"Não se aplica")&gt;0,0,1))</x:f>
        <x:v>2</x:v>
      </x:c>
    </x:row>
    <x:row r="33" ht="63" customHeight="1">
      <x:c r="A33" s="15" t="str">
        <x:v>EVT-028</x:v>
      </x:c>
      <x:c r="B33" s="15" t="str">
        <x:v>P0</x:v>
      </x:c>
      <x:c r="C33" s="15" t="str">
        <x:v>Equipe</x:v>
      </x:c>
      <x:c r="D33" s="15" t="str">
        <x:v>Confirmar aceite e horários do apoio</x:v>
      </x:c>
      <x:c r="E33" s="15" t="str">
        <x:v>Arthur + Henrique</x:v>
      </x:c>
      <x:c r="F33" s="16"/>
      <x:c r="G33" s="20" t="n">
        <x:v>-27</x:v>
      </x:c>
      <x:c r="H33" s="20" t="n">
        <x:v>-13</x:v>
      </x:c>
      <x:c r="I33" s="21" t="n">
        <x:f>IF(ISNUMBER(G33),'Visão'!$B$6+G33,"")</x:f>
        <x:v>46285</x:v>
      </x:c>
      <x:c r="J33" s="21" t="n">
        <x:f>IF(ISNUMBER(H33),'Visão'!$B$6+H33,"")</x:f>
        <x:v>46299</x:v>
      </x:c>
      <x:c r="K33" s="16" t="str">
        <x:v>EVT-005</x:v>
      </x:c>
      <x:c r="L33" s="16" t="str">
        <x:v>EVT-016</x:v>
      </x:c>
      <x:c r="M33" s="16" t="str">
        <x:v>EVT-022</x:v>
      </x:c>
      <x:c r="N33" s="16" t="str">
        <x:v>Não iniciado</x:v>
      </x:c>
      <x:c r="O33" s="15" t="str">
        <x:f>IF(N33="Não se aplica","Não se aplica",IF(N33="Concluído",IF(Q33="","Falta evidência",IF(R33&gt;0,"Revisar dependências","Concluído")),IF(N33="Bloqueado","Bloqueado",IF(J33="","Sem prazo",IF(J33&lt;'Visão'!$B$7,"Atrasado",IF(J33='Visão'!$B$7,"Hoje",IF(R33&gt;0,"Dependência pendente",IF(F33="","Sem responsável","No prazo"))))))))</x:f>
        <x:v>Dependência pendente</x:v>
      </x:c>
      <x:c r="P33" s="15" t="str">
        <x:v>Recepção, técnica e serviço cobertos nos horários simultâneos.</x:v>
      </x:c>
      <x:c r="Q33" s="16"/>
      <x:c r="R33" s="15" t="n">
        <x:f>IF(K33="",0,IF(COUNTIFS($A$6:$A$65,K33,$N$6:$N$65,"Concluído")+COUNTIFS($A$6:$A$65,K33,$N$6:$N$65,"Não se aplica")&gt;0,0,1))+IF(L33="",0,IF(COUNTIFS($A$6:$A$65,L33,$N$6:$N$65,"Concluído")+COUNTIFS($A$6:$A$65,L33,$N$6:$N$65,"Não se aplica")&gt;0,0,1))+IF(M33="",0,IF(COUNTIFS($A$6:$A$65,M33,$N$6:$N$65,"Concluído")+COUNTIFS($A$6:$A$65,M33,$N$6:$N$65,"Não se aplica")&gt;0,0,1))</x:f>
        <x:v>3</x:v>
      </x:c>
    </x:row>
    <x:row r="34" ht="63" customHeight="1">
      <x:c r="A34" s="15" t="str">
        <x:v>EVT-029</x:v>
      </x:c>
      <x:c r="B34" s="15" t="str">
        <x:v>P1</x:v>
      </x:c>
      <x:c r="C34" s="15" t="str">
        <x:v>Condução</x:v>
      </x:c>
      <x:c r="D34" s="15" t="str">
        <x:v>Preparar pergunta e mediação da Mesa 360</x:v>
      </x:c>
      <x:c r="E34" s="15" t="str">
        <x:v>Arthur + Henrique</x:v>
      </x:c>
      <x:c r="F34" s="16"/>
      <x:c r="G34" s="20" t="n">
        <x:v>-27</x:v>
      </x:c>
      <x:c r="H34" s="20" t="n">
        <x:v>-13</x:v>
      </x:c>
      <x:c r="I34" s="21" t="n">
        <x:f>IF(ISNUMBER(G34),'Visão'!$B$6+G34,"")</x:f>
        <x:v>46285</x:v>
      </x:c>
      <x:c r="J34" s="21" t="n">
        <x:f>IF(ISNUMBER(H34),'Visão'!$B$6+H34,"")</x:f>
        <x:v>46299</x:v>
      </x:c>
      <x:c r="K34" s="16" t="str">
        <x:v>EVT-012</x:v>
      </x:c>
      <x:c r="L34" s="16"/>
      <x:c r="M34" s="16"/>
      <x:c r="N34" s="16" t="str">
        <x:v>Não iniciado</x:v>
      </x:c>
      <x:c r="O34" s="15" t="str">
        <x:f>IF(N34="Não se aplica","Não se aplica",IF(N34="Concluído",IF(Q34="","Falta evidência",IF(R34&gt;0,"Revisar dependências","Concluído")),IF(N34="Bloqueado","Bloqueado",IF(J34="","Sem prazo",IF(J34&lt;'Visão'!$B$7,"Atrasado",IF(J34='Visão'!$B$7,"Hoje",IF(R34&gt;0,"Dependência pendente",IF(F34="","Sem responsável","No prazo"))))))))</x:f>
        <x:v>Dependência pendente</x:v>
      </x:c>
      <x:c r="P34" s="15" t="str">
        <x:v>Roteiro de 45 min com rodada curta, direito de passar e síntese.</x:v>
      </x:c>
      <x:c r="Q34" s="16"/>
      <x:c r="R34" s="15" t="n">
        <x:f>IF(K34="",0,IF(COUNTIFS($A$6:$A$65,K34,$N$6:$N$65,"Concluído")+COUNTIFS($A$6:$A$65,K34,$N$6:$N$65,"Não se aplica")&gt;0,0,1))+IF(L34="",0,IF(COUNTIFS($A$6:$A$65,L34,$N$6:$N$65,"Concluído")+COUNTIFS($A$6:$A$65,L34,$N$6:$N$65,"Não se aplica")&gt;0,0,1))+IF(M34="",0,IF(COUNTIFS($A$6:$A$65,M34,$N$6:$N$65,"Concluído")+COUNTIFS($A$6:$A$65,M34,$N$6:$N$65,"Não se aplica")&gt;0,0,1))</x:f>
        <x:v>1</x:v>
      </x:c>
    </x:row>
    <x:row r="35" ht="63" customHeight="1">
      <x:c r="A35" s="15" t="str">
        <x:v>EVT-030</x:v>
      </x:c>
      <x:c r="B35" s="15" t="str">
        <x:v>P1</x:v>
      </x:c>
      <x:c r="C35" s="15" t="str">
        <x:v>Condução</x:v>
      </x:c>
      <x:c r="D35" s="15" t="str">
        <x:v>Escolher dinâmica com materiais disponíveis</x:v>
      </x:c>
      <x:c r="E35" s="15" t="str">
        <x:v>Arthur + apoio a definir</x:v>
      </x:c>
      <x:c r="F35" s="16"/>
      <x:c r="G35" s="20" t="n">
        <x:v>-20</x:v>
      </x:c>
      <x:c r="H35" s="20" t="n">
        <x:v>-13</x:v>
      </x:c>
      <x:c r="I35" s="21" t="n">
        <x:f>IF(ISNUMBER(G35),'Visão'!$B$6+G35,"")</x:f>
        <x:v>46292</x:v>
      </x:c>
      <x:c r="J35" s="21" t="n">
        <x:f>IF(ISNUMBER(H35),'Visão'!$B$6+H35,"")</x:f>
        <x:v>46299</x:v>
      </x:c>
      <x:c r="K35" s="16" t="str">
        <x:v>EVT-029</x:v>
      </x:c>
      <x:c r="L35" s="16" t="str">
        <x:v>EVT-003</x:v>
      </x:c>
      <x:c r="M35" s="16"/>
      <x:c r="N35" s="16" t="str">
        <x:v>Não iniciado</x:v>
      </x:c>
      <x:c r="O35" s="15" t="str">
        <x:f>IF(N35="Não se aplica","Não se aplica",IF(N35="Concluído",IF(Q35="","Falta evidência",IF(R35&gt;0,"Revisar dependências","Concluído")),IF(N35="Bloqueado","Bloqueado",IF(J35="","Sem prazo",IF(J35&lt;'Visão'!$B$7,"Atrasado",IF(J35='Visão'!$B$7,"Hoje",IF(R35&gt;0,"Dependência pendente",IF(F35="","Sem responsável","No prazo"))))))))</x:f>
        <x:v>Dependência pendente</x:v>
      </x:c>
      <x:c r="P35" s="15" t="str">
        <x:v>Dinâmica simples cabe no roteiro sem verba opcional presumida.</x:v>
      </x:c>
      <x:c r="Q35" s="16"/>
      <x:c r="R35" s="15" t="n">
        <x:f>IF(K35="",0,IF(COUNTIFS($A$6:$A$65,K35,$N$6:$N$65,"Concluído")+COUNTIFS($A$6:$A$65,K35,$N$6:$N$65,"Não se aplica")&gt;0,0,1))+IF(L35="",0,IF(COUNTIFS($A$6:$A$65,L35,$N$6:$N$65,"Concluído")+COUNTIFS($A$6:$A$65,L35,$N$6:$N$65,"Não se aplica")&gt;0,0,1))+IF(M35="",0,IF(COUNTIFS($A$6:$A$65,M35,$N$6:$N$65,"Concluído")+COUNTIFS($A$6:$A$65,M35,$N$6:$N$65,"Não se aplica")&gt;0,0,1))</x:f>
        <x:v>2</x:v>
      </x:c>
    </x:row>
    <x:row r="36" ht="63" customHeight="1">
      <x:c r="A36" s="15" t="str">
        <x:v>EVT-031</x:v>
      </x:c>
      <x:c r="B36" s="15" t="str">
        <x:v>P1</x:v>
      </x:c>
      <x:c r="C36" s="15" t="str">
        <x:v>Imagem</x:v>
      </x:c>
      <x:c r="D36" s="15" t="str">
        <x:v>Definir foto opcional, responsável e combinações</x:v>
      </x:c>
      <x:c r="E36" s="15" t="str">
        <x:v>Arthur + apoio a definir</x:v>
      </x:c>
      <x:c r="F36" s="16"/>
      <x:c r="G36" s="20" t="n">
        <x:v>-27</x:v>
      </x:c>
      <x:c r="H36" s="20" t="n">
        <x:v>-13</x:v>
      </x:c>
      <x:c r="I36" s="21" t="n">
        <x:f>IF(ISNUMBER(G36),'Visão'!$B$6+G36,"")</x:f>
        <x:v>46285</x:v>
      </x:c>
      <x:c r="J36" s="21" t="n">
        <x:f>IF(ISNUMBER(H36),'Visão'!$B$6+H36,"")</x:f>
        <x:v>46299</x:v>
      </x:c>
      <x:c r="K36" s="16" t="str">
        <x:v>EVT-005</x:v>
      </x:c>
      <x:c r="L36" s="16" t="str">
        <x:v>EVT-010</x:v>
      </x:c>
      <x:c r="M36" s="16" t="str">
        <x:v>EVT-011</x:v>
      </x:c>
      <x:c r="N36" s="16" t="str">
        <x:v>Não iniciado</x:v>
      </x:c>
      <x:c r="O36" s="15" t="str">
        <x:f>IF(N36="Não se aplica","Não se aplica",IF(N36="Concluído",IF(Q36="","Falta evidência",IF(R36&gt;0,"Revisar dependências","Concluído")),IF(N36="Bloqueado","Bloqueado",IF(J36="","Sem prazo",IF(J36&lt;'Visão'!$B$7,"Atrasado",IF(J36='Visão'!$B$7,"Hoje",IF(R36&gt;0,"Dependência pendente",IF(F36="","Sem responsável","No prazo"))))))))</x:f>
        <x:v>Dependência pendente</x:v>
      </x:c>
      <x:c r="P36" s="15" t="str">
        <x:v>Responsável aceito e escolhas de imagem/materiais esclarecidas.</x:v>
      </x:c>
      <x:c r="Q36" s="16"/>
      <x:c r="R36" s="15" t="n">
        <x:f>IF(K36="",0,IF(COUNTIFS($A$6:$A$65,K36,$N$6:$N$65,"Concluído")+COUNTIFS($A$6:$A$65,K36,$N$6:$N$65,"Não se aplica")&gt;0,0,1))+IF(L36="",0,IF(COUNTIFS($A$6:$A$65,L36,$N$6:$N$65,"Concluído")+COUNTIFS($A$6:$A$65,L36,$N$6:$N$65,"Não se aplica")&gt;0,0,1))+IF(M36="",0,IF(COUNTIFS($A$6:$A$65,M36,$N$6:$N$65,"Concluído")+COUNTIFS($A$6:$A$65,M36,$N$6:$N$65,"Não se aplica")&gt;0,0,1))</x:f>
        <x:v>3</x:v>
      </x:c>
    </x:row>
    <x:row r="37" ht="63" customHeight="1">
      <x:c r="A37" s="15" t="str">
        <x:v>EVT-032</x:v>
      </x:c>
      <x:c r="B37" s="15" t="str">
        <x:v>P0</x:v>
      </x:c>
      <x:c r="C37" s="15" t="str">
        <x:v>Condução</x:v>
      </x:c>
      <x:c r="D37" s="15" t="str">
        <x:v>Validar roteiro com equipe e palestrantes</x:v>
      </x:c>
      <x:c r="E37" s="15" t="str">
        <x:v>Arthur + Henrique</x:v>
      </x:c>
      <x:c r="F37" s="16"/>
      <x:c r="G37" s="20" t="n">
        <x:v>-20</x:v>
      </x:c>
      <x:c r="H37" s="20" t="n">
        <x:v>-13</x:v>
      </x:c>
      <x:c r="I37" s="21" t="n">
        <x:f>IF(ISNUMBER(G37),'Visão'!$B$6+G37,"")</x:f>
        <x:v>46292</x:v>
      </x:c>
      <x:c r="J37" s="21" t="n">
        <x:f>IF(ISNUMBER(H37),'Visão'!$B$6+H37,"")</x:f>
        <x:v>46299</x:v>
      </x:c>
      <x:c r="K37" s="16" t="str">
        <x:v>EVT-012</x:v>
      </x:c>
      <x:c r="L37" s="16" t="str">
        <x:v>EVT-028</x:v>
      </x:c>
      <x:c r="M37" s="16" t="str">
        <x:v>EVT-029</x:v>
      </x:c>
      <x:c r="N37" s="16" t="str">
        <x:v>Não iniciado</x:v>
      </x:c>
      <x:c r="O37" s="15" t="str">
        <x:f>IF(N37="Não se aplica","Não se aplica",IF(N37="Concluído",IF(Q37="","Falta evidência",IF(R37&gt;0,"Revisar dependências","Concluído")),IF(N37="Bloqueado","Bloqueado",IF(J37="","Sem prazo",IF(J37&lt;'Visão'!$B$7,"Atrasado",IF(J37='Visão'!$B$7,"Hoje",IF(R37&gt;0,"Dependência pendente",IF(F37="","Sem responsável","No prazo"))))))))</x:f>
        <x:v>Dependência pendente</x:v>
      </x:c>
      <x:c r="P37" s="15" t="str">
        <x:v>Sequência aceita preserva almoço 12h30 e saída 17h. Apoio distribuído.</x:v>
      </x:c>
      <x:c r="Q37" s="16"/>
      <x:c r="R37" s="15" t="n">
        <x:f>IF(K37="",0,IF(COUNTIFS($A$6:$A$65,K37,$N$6:$N$65,"Concluído")+COUNTIFS($A$6:$A$65,K37,$N$6:$N$65,"Não se aplica")&gt;0,0,1))+IF(L37="",0,IF(COUNTIFS($A$6:$A$65,L37,$N$6:$N$65,"Concluído")+COUNTIFS($A$6:$A$65,L37,$N$6:$N$65,"Não se aplica")&gt;0,0,1))+IF(M37="",0,IF(COUNTIFS($A$6:$A$65,M37,$N$6:$N$65,"Concluído")+COUNTIFS($A$6:$A$65,M37,$N$6:$N$65,"Não se aplica")&gt;0,0,1))</x:f>
        <x:v>3</x:v>
      </x:c>
    </x:row>
    <x:row r="38" ht="63" customHeight="1">
      <x:c r="A38" s="15" t="str">
        <x:v>EVT-033</x:v>
      </x:c>
      <x:c r="B38" s="15" t="str">
        <x:v>P0</x:v>
      </x:c>
      <x:c r="C38" s="15" t="str">
        <x:v>Revisão</x:v>
      </x:c>
      <x:c r="D38" s="15" t="str">
        <x:v>Revisar viabilidade de público, custo e estrutura</x:v>
      </x:c>
      <x:c r="E38" s="15" t="str">
        <x:v>Arthur + Henrique</x:v>
      </x:c>
      <x:c r="F38" s="16"/>
      <x:c r="G38" s="20" t="n">
        <x:v>-13</x:v>
      </x:c>
      <x:c r="H38" s="20" t="n">
        <x:v>-13</x:v>
      </x:c>
      <x:c r="I38" s="21" t="n">
        <x:f>IF(ISNUMBER(G38),'Visão'!$B$6+G38,"")</x:f>
        <x:v>46299</x:v>
      </x:c>
      <x:c r="J38" s="21" t="n">
        <x:f>IF(ISNUMBER(H38),'Visão'!$B$6+H38,"")</x:f>
        <x:v>46299</x:v>
      </x:c>
      <x:c r="K38" s="16" t="str">
        <x:v>EVT-014</x:v>
      </x:c>
      <x:c r="L38" s="16" t="str">
        <x:v>EVT-021</x:v>
      </x:c>
      <x:c r="M38" s="16" t="str">
        <x:v>EVT-028</x:v>
      </x:c>
      <x:c r="N38" s="16" t="str">
        <x:v>Não iniciado</x:v>
      </x:c>
      <x:c r="O38" s="15" t="str">
        <x:f>IF(N38="Não se aplica","Não se aplica",IF(N38="Concluído",IF(Q38="","Falta evidência",IF(R38&gt;0,"Revisar dependências","Concluído")),IF(N38="Bloqueado","Bloqueado",IF(J38="","Sem prazo",IF(J38&lt;'Visão'!$B$7,"Atrasado",IF(J38='Visão'!$B$7,"Hoje",IF(R38&gt;0,"Dependência pendente",IF(F38="","Sem responsável","No prazo"))))))))</x:f>
        <x:v>Dependência pendente</x:v>
      </x:c>
      <x:c r="P38" s="15" t="str">
        <x:v>Revisão de 04/10 registra pendências, ações e continuidade viável.</x:v>
      </x:c>
      <x:c r="Q38" s="16"/>
      <x:c r="R38" s="15" t="n">
        <x:f>IF(K38="",0,IF(COUNTIFS($A$6:$A$65,K38,$N$6:$N$65,"Concluído")+COUNTIFS($A$6:$A$65,K38,$N$6:$N$65,"Não se aplica")&gt;0,0,1))+IF(L38="",0,IF(COUNTIFS($A$6:$A$65,L38,$N$6:$N$65,"Concluído")+COUNTIFS($A$6:$A$65,L38,$N$6:$N$65,"Não se aplica")&gt;0,0,1))+IF(M38="",0,IF(COUNTIFS($A$6:$A$65,M38,$N$6:$N$65,"Concluído")+COUNTIFS($A$6:$A$65,M38,$N$6:$N$65,"Não se aplica")&gt;0,0,1))</x:f>
        <x:v>3</x:v>
      </x:c>
    </x:row>
    <x:row r="39" ht="63" customHeight="1">
      <x:c r="A39" s="15" t="str">
        <x:v>EVT-034</x:v>
      </x:c>
      <x:c r="B39" s="15" t="str">
        <x:v>P0</x:v>
      </x:c>
      <x:c r="C39" s="15" t="str">
        <x:v>Público</x:v>
      </x:c>
      <x:c r="D39" s="15" t="str">
        <x:v>Reconfirmar total e necessidades em canal restrito</x:v>
      </x:c>
      <x:c r="E39" s="15" t="str">
        <x:v>Recepção a definir</x:v>
      </x:c>
      <x:c r="F39" s="16"/>
      <x:c r="G39" s="20" t="n">
        <x:v>-12</x:v>
      </x:c>
      <x:c r="H39" s="20" t="n">
        <x:v>-6</x:v>
      </x:c>
      <x:c r="I39" s="21" t="n">
        <x:f>IF(ISNUMBER(G39),'Visão'!$B$6+G39,"")</x:f>
        <x:v>46300</x:v>
      </x:c>
      <x:c r="J39" s="21" t="n">
        <x:f>IF(ISNUMBER(H39),'Visão'!$B$6+H39,"")</x:f>
        <x:v>46306</x:v>
      </x:c>
      <x:c r="K39" s="16" t="str">
        <x:v>EVT-023</x:v>
      </x:c>
      <x:c r="L39" s="16" t="str">
        <x:v>EVT-025</x:v>
      </x:c>
      <x:c r="M39" s="16" t="str">
        <x:v>EVT-015</x:v>
      </x:c>
      <x:c r="N39" s="16" t="str">
        <x:v>Não iniciado</x:v>
      </x:c>
      <x:c r="O39" s="15" t="str">
        <x:f>IF(N39="Não se aplica","Não se aplica",IF(N39="Concluído",IF(Q39="","Falta evidência",IF(R39&gt;0,"Revisar dependências","Concluído")),IF(N39="Bloqueado","Bloqueado",IF(J39="","Sem prazo",IF(J39&lt;'Visão'!$B$7,"Atrasado",IF(J39='Visão'!$B$7,"Hoje",IF(R39&gt;0,"Dependência pendente",IF(F39="","Sem responsável","No prazo"))))))))</x:f>
        <x:v>Dependência pendente</x:v>
      </x:c>
      <x:c r="P39" s="15" t="str">
        <x:v>Até 11/10, total reconfirmado inclui equipe. Necessidades tratadas privadamente.</x:v>
      </x:c>
      <x:c r="Q39" s="16"/>
      <x:c r="R39" s="15" t="n">
        <x:f>IF(K39="",0,IF(COUNTIFS($A$6:$A$65,K39,$N$6:$N$65,"Concluído")+COUNTIFS($A$6:$A$65,K39,$N$6:$N$65,"Não se aplica")&gt;0,0,1))+IF(L39="",0,IF(COUNTIFS($A$6:$A$65,L39,$N$6:$N$65,"Concluído")+COUNTIFS($A$6:$A$65,L39,$N$6:$N$65,"Não se aplica")&gt;0,0,1))+IF(M39="",0,IF(COUNTIFS($A$6:$A$65,M39,$N$6:$N$65,"Concluído")+COUNTIFS($A$6:$A$65,M39,$N$6:$N$65,"Não se aplica")&gt;0,0,1))</x:f>
        <x:v>3</x:v>
      </x:c>
    </x:row>
    <x:row r="40" ht="63" customHeight="1">
      <x:c r="A40" s="15" t="str">
        <x:v>EVT-035</x:v>
      </x:c>
      <x:c r="B40" s="15" t="str">
        <x:v>P0</x:v>
      </x:c>
      <x:c r="C40" s="15" t="str">
        <x:v>Alimentação</x:v>
      </x:c>
      <x:c r="D40" s="15" t="str">
        <x:v>Fechar quantidades e compra autorizada</x:v>
      </x:c>
      <x:c r="E40" s="15" t="str">
        <x:v>Henrique + preparo</x:v>
      </x:c>
      <x:c r="F40" s="16"/>
      <x:c r="G40" s="20" t="n">
        <x:v>-5</x:v>
      </x:c>
      <x:c r="H40" s="20" t="n">
        <x:v>-5</x:v>
      </x:c>
      <x:c r="I40" s="21" t="n">
        <x:f>IF(ISNUMBER(G40),'Visão'!$B$6+G40,"")</x:f>
        <x:v>46307</x:v>
      </x:c>
      <x:c r="J40" s="21" t="n">
        <x:f>IF(ISNUMBER(H40),'Visão'!$B$6+H40,"")</x:f>
        <x:v>46307</x:v>
      </x:c>
      <x:c r="K40" s="16" t="str">
        <x:v>EVT-034</x:v>
      </x:c>
      <x:c r="L40" s="16" t="str">
        <x:v>EVT-015</x:v>
      </x:c>
      <x:c r="M40" s="16" t="str">
        <x:v>EVT-014</x:v>
      </x:c>
      <x:c r="N40" s="16" t="str">
        <x:v>Não iniciado</x:v>
      </x:c>
      <x:c r="O40" s="15" t="str">
        <x:f>IF(N40="Não se aplica","Não se aplica",IF(N40="Concluído",IF(Q40="","Falta evidência",IF(R40&gt;0,"Revisar dependências","Concluído")),IF(N40="Bloqueado","Bloqueado",IF(J40="","Sem prazo",IF(J40&lt;'Visão'!$B$7,"Atrasado",IF(J40='Visão'!$B$7,"Hoje",IF(R40&gt;0,"Dependência pendente",IF(F40="","Sem responsável","No prazo"))))))))</x:f>
        <x:v>Dependência pendente</x:v>
      </x:c>
      <x:c r="P40" s="15" t="str">
        <x:v>Quantidade final registrada e aceite dos organizadores antes de comprar.</x:v>
      </x:c>
      <x:c r="Q40" s="16"/>
      <x:c r="R40" s="15" t="n">
        <x:f>IF(K40="",0,IF(COUNTIFS($A$6:$A$65,K40,$N$6:$N$65,"Concluído")+COUNTIFS($A$6:$A$65,K40,$N$6:$N$65,"Não se aplica")&gt;0,0,1))+IF(L40="",0,IF(COUNTIFS($A$6:$A$65,L40,$N$6:$N$65,"Concluído")+COUNTIFS($A$6:$A$65,L40,$N$6:$N$65,"Não se aplica")&gt;0,0,1))+IF(M40="",0,IF(COUNTIFS($A$6:$A$65,M40,$N$6:$N$65,"Concluído")+COUNTIFS($A$6:$A$65,M40,$N$6:$N$65,"Não se aplica")&gt;0,0,1))</x:f>
        <x:v>3</x:v>
      </x:c>
    </x:row>
    <x:row r="41" ht="63" customHeight="1">
      <x:c r="A41" s="15" t="str">
        <x:v>EVT-036</x:v>
      </x:c>
      <x:c r="B41" s="15" t="str">
        <x:v>P0</x:v>
      </x:c>
      <x:c r="C41" s="15" t="str">
        <x:v>Orçamento</x:v>
      </x:c>
      <x:c r="D41" s="15" t="str">
        <x:v>Revisar previsão final e liberar gastos</x:v>
      </x:c>
      <x:c r="E41" s="15" t="str">
        <x:v>Arthur + Henrique</x:v>
      </x:c>
      <x:c r="F41" s="16"/>
      <x:c r="G41" s="20" t="n">
        <x:v>-5</x:v>
      </x:c>
      <x:c r="H41" s="20" t="n">
        <x:v>-5</x:v>
      </x:c>
      <x:c r="I41" s="21" t="n">
        <x:f>IF(ISNUMBER(G41),'Visão'!$B$6+G41,"")</x:f>
        <x:v>46307</x:v>
      </x:c>
      <x:c r="J41" s="21" t="n">
        <x:f>IF(ISNUMBER(H41),'Visão'!$B$6+H41,"")</x:f>
        <x:v>46307</x:v>
      </x:c>
      <x:c r="K41" s="16" t="str">
        <x:v>EVT-035</x:v>
      </x:c>
      <x:c r="L41" s="16" t="str">
        <x:v>EVT-007</x:v>
      </x:c>
      <x:c r="M41" s="16" t="str">
        <x:v>EVT-003</x:v>
      </x:c>
      <x:c r="N41" s="16" t="str">
        <x:v>Não iniciado</x:v>
      </x:c>
      <x:c r="O41" s="15" t="str">
        <x:f>IF(N41="Não se aplica","Não se aplica",IF(N41="Concluído",IF(Q41="","Falta evidência",IF(R41&gt;0,"Revisar dependências","Concluído")),IF(N41="Bloqueado","Bloqueado",IF(J41="","Sem prazo",IF(J41&lt;'Visão'!$B$7,"Atrasado",IF(J41='Visão'!$B$7,"Hoje",IF(R41&gt;0,"Dependência pendente",IF(F41="","Sem responsável","No prazo"))))))))</x:f>
        <x:v>Dependência pendente</x:v>
      </x:c>
      <x:c r="P41" s="15" t="str">
        <x:v>Previsão inteira cabe no teto. Uso da reserva, se houver, aprovado explicitamente.</x:v>
      </x:c>
      <x:c r="Q41" s="16"/>
      <x:c r="R41" s="15" t="n">
        <x:f>IF(K41="",0,IF(COUNTIFS($A$6:$A$65,K41,$N$6:$N$65,"Concluído")+COUNTIFS($A$6:$A$65,K41,$N$6:$N$65,"Não se aplica")&gt;0,0,1))+IF(L41="",0,IF(COUNTIFS($A$6:$A$65,L41,$N$6:$N$65,"Concluído")+COUNTIFS($A$6:$A$65,L41,$N$6:$N$65,"Não se aplica")&gt;0,0,1))+IF(M41="",0,IF(COUNTIFS($A$6:$A$65,M41,$N$6:$N$65,"Concluído")+COUNTIFS($A$6:$A$65,M41,$N$6:$N$65,"Não se aplica")&gt;0,0,1))</x:f>
        <x:v>3</x:v>
      </x:c>
    </x:row>
    <x:row r="42" ht="63" customHeight="1">
      <x:c r="A42" s="15" t="str">
        <x:v>EVT-037</x:v>
      </x:c>
      <x:c r="B42" s="15" t="str">
        <x:v>P0</x:v>
      </x:c>
      <x:c r="C42" s="15" t="str">
        <x:v>Alimentação</x:v>
      </x:c>
      <x:c r="D42" s="15" t="str">
        <x:v>Comprar e conferir ingredientes e bebidas</x:v>
      </x:c>
      <x:c r="E42" s="15" t="str">
        <x:v>Henrique + preparo</x:v>
      </x:c>
      <x:c r="F42" s="16"/>
      <x:c r="G42" s="20" t="n">
        <x:v>-5</x:v>
      </x:c>
      <x:c r="H42" s="20" t="n">
        <x:v>-1</x:v>
      </x:c>
      <x:c r="I42" s="21" t="n">
        <x:f>IF(ISNUMBER(G42),'Visão'!$B$6+G42,"")</x:f>
        <x:v>46307</x:v>
      </x:c>
      <x:c r="J42" s="21" t="n">
        <x:f>IF(ISNUMBER(H42),'Visão'!$B$6+H42,"")</x:f>
        <x:v>46311</x:v>
      </x:c>
      <x:c r="K42" s="16" t="str">
        <x:v>EVT-036</x:v>
      </x:c>
      <x:c r="L42" s="16"/>
      <x:c r="M42" s="16"/>
      <x:c r="N42" s="16" t="str">
        <x:v>Não iniciado</x:v>
      </x:c>
      <x:c r="O42" s="15" t="str">
        <x:f>IF(N42="Não se aplica","Não se aplica",IF(N42="Concluído",IF(Q42="","Falta evidência",IF(R42&gt;0,"Revisar dependências","Concluído")),IF(N42="Bloqueado","Bloqueado",IF(J42="","Sem prazo",IF(J42&lt;'Visão'!$B$7,"Atrasado",IF(J42='Visão'!$B$7,"Hoje",IF(R42&gt;0,"Dependência pendente",IF(F42="","Sem responsável","No prazo"))))))))</x:f>
        <x:v>Dependência pendente</x:v>
      </x:c>
      <x:c r="P42" s="15" t="str">
        <x:v>Compras conforme prazo real, quantidade, comprovantes e armazenamento adequado.</x:v>
      </x:c>
      <x:c r="Q42" s="16"/>
      <x:c r="R42" s="15" t="n">
        <x:f>IF(K42="",0,IF(COUNTIFS($A$6:$A$65,K42,$N$6:$N$65,"Concluído")+COUNTIFS($A$6:$A$65,K42,$N$6:$N$65,"Não se aplica")&gt;0,0,1))+IF(L42="",0,IF(COUNTIFS($A$6:$A$65,L42,$N$6:$N$65,"Concluído")+COUNTIFS($A$6:$A$65,L42,$N$6:$N$65,"Não se aplica")&gt;0,0,1))+IF(M42="",0,IF(COUNTIFS($A$6:$A$65,M42,$N$6:$N$65,"Concluído")+COUNTIFS($A$6:$A$65,M42,$N$6:$N$65,"Não se aplica")&gt;0,0,1))</x:f>
        <x:v>1</x:v>
      </x:c>
    </x:row>
    <x:row r="43" ht="63" customHeight="1">
      <x:c r="A43" s="15" t="str">
        <x:v>EVT-038</x:v>
      </x:c>
      <x:c r="B43" s="15" t="str">
        <x:v>P0</x:v>
      </x:c>
      <x:c r="C43" s="15" t="str">
        <x:v>Alimentação</x:v>
      </x:c>
      <x:c r="D43" s="15" t="str">
        <x:v>Confirmar utensílios, gelo, limpeza e lanche</x:v>
      </x:c>
      <x:c r="E43" s="15" t="str">
        <x:v>Apoio de serviço a definir</x:v>
      </x:c>
      <x:c r="F43" s="16"/>
      <x:c r="G43" s="20" t="n">
        <x:v>-5</x:v>
      </x:c>
      <x:c r="H43" s="20" t="n">
        <x:v>-1</x:v>
      </x:c>
      <x:c r="I43" s="21" t="n">
        <x:f>IF(ISNUMBER(G43),'Visão'!$B$6+G43,"")</x:f>
        <x:v>46307</x:v>
      </x:c>
      <x:c r="J43" s="21" t="n">
        <x:f>IF(ISNUMBER(H43),'Visão'!$B$6+H43,"")</x:f>
        <x:v>46311</x:v>
      </x:c>
      <x:c r="K43" s="16" t="str">
        <x:v>EVT-035</x:v>
      </x:c>
      <x:c r="L43" s="16" t="str">
        <x:v>EVT-016</x:v>
      </x:c>
      <x:c r="M43" s="16"/>
      <x:c r="N43" s="16" t="str">
        <x:v>Não iniciado</x:v>
      </x:c>
      <x:c r="O43" s="15" t="str">
        <x:f>IF(N43="Não se aplica","Não se aplica",IF(N43="Concluído",IF(Q43="","Falta evidência",IF(R43&gt;0,"Revisar dependências","Concluído")),IF(N43="Bloqueado","Bloqueado",IF(J43="","Sem prazo",IF(J43&lt;'Visão'!$B$7,"Atrasado",IF(J43='Visão'!$B$7,"Hoje",IF(R43&gt;0,"Dependência pendente",IF(F43="","Sem responsável","No prazo"))))))))</x:f>
        <x:v>Dependência pendente</x:v>
      </x:c>
      <x:c r="P43" s="15" t="str">
        <x:v>Itens conferidos, quem leva e repõe definido, custos inclusos.</x:v>
      </x:c>
      <x:c r="Q43" s="16"/>
      <x:c r="R43" s="15" t="n">
        <x:f>IF(K43="",0,IF(COUNTIFS($A$6:$A$65,K43,$N$6:$N$65,"Concluído")+COUNTIFS($A$6:$A$65,K43,$N$6:$N$65,"Não se aplica")&gt;0,0,1))+IF(L43="",0,IF(COUNTIFS($A$6:$A$65,L43,$N$6:$N$65,"Concluído")+COUNTIFS($A$6:$A$65,L43,$N$6:$N$65,"Não se aplica")&gt;0,0,1))+IF(M43="",0,IF(COUNTIFS($A$6:$A$65,M43,$N$6:$N$65,"Concluído")+COUNTIFS($A$6:$A$65,M43,$N$6:$N$65,"Não se aplica")&gt;0,0,1))</x:f>
        <x:v>2</x:v>
      </x:c>
    </x:row>
    <x:row r="44" ht="63" customHeight="1">
      <x:c r="A44" s="15" t="str">
        <x:v>EVT-039</x:v>
      </x:c>
      <x:c r="B44" s="15" t="str">
        <x:v>P0</x:v>
      </x:c>
      <x:c r="C44" s="15" t="str">
        <x:v>Conteúdo</x:v>
      </x:c>
      <x:c r="D44" s="15" t="str">
        <x:v>Receber slides e demo das duas falas</x:v>
      </x:c>
      <x:c r="E44" s="15" t="str">
        <x:v>Arthur + palestrantes</x:v>
      </x:c>
      <x:c r="F44" s="16"/>
      <x:c r="G44" s="20" t="n">
        <x:v>-6</x:v>
      </x:c>
      <x:c r="H44" s="20" t="n">
        <x:v>-3</x:v>
      </x:c>
      <x:c r="I44" s="21" t="n">
        <x:f>IF(ISNUMBER(G44),'Visão'!$B$6+G44,"")</x:f>
        <x:v>46306</x:v>
      </x:c>
      <x:c r="J44" s="21" t="n">
        <x:f>IF(ISNUMBER(H44),'Visão'!$B$6+H44,"")</x:f>
        <x:v>46309</x:v>
      </x:c>
      <x:c r="K44" s="16" t="str">
        <x:v>EVT-012</x:v>
      </x:c>
      <x:c r="L44" s="16"/>
      <x:c r="M44" s="16"/>
      <x:c r="N44" s="16" t="str">
        <x:v>Não iniciado</x:v>
      </x:c>
      <x:c r="O44" s="15" t="str">
        <x:f>IF(N44="Não se aplica","Não se aplica",IF(N44="Concluído",IF(Q44="","Falta evidência",IF(R44&gt;0,"Revisar dependências","Concluído")),IF(N44="Bloqueado","Bloqueado",IF(J44="","Sem prazo",IF(J44&lt;'Visão'!$B$7,"Atrasado",IF(J44='Visão'!$B$7,"Hoje",IF(R44&gt;0,"Dependência pendente",IF(F44="","Sem responsável","No prazo"))))))))</x:f>
        <x:v>Dependência pendente</x:v>
      </x:c>
      <x:c r="P44" s="15" t="str">
        <x:v>Arquivos até 14/10, demo com dados de teste e alternativa offline disponíveis.</x:v>
      </x:c>
      <x:c r="Q44" s="16"/>
      <x:c r="R44" s="15" t="n">
        <x:f>IF(K44="",0,IF(COUNTIFS($A$6:$A$65,K44,$N$6:$N$65,"Concluído")+COUNTIFS($A$6:$A$65,K44,$N$6:$N$65,"Não se aplica")&gt;0,0,1))+IF(L44="",0,IF(COUNTIFS($A$6:$A$65,L44,$N$6:$N$65,"Concluído")+COUNTIFS($A$6:$A$65,L44,$N$6:$N$65,"Não se aplica")&gt;0,0,1))+IF(M44="",0,IF(COUNTIFS($A$6:$A$65,M44,$N$6:$N$65,"Concluído")+COUNTIFS($A$6:$A$65,M44,$N$6:$N$65,"Não se aplica")&gt;0,0,1))</x:f>
        <x:v>1</x:v>
      </x:c>
    </x:row>
    <x:row r="45" ht="63" customHeight="1">
      <x:c r="A45" s="15" t="str">
        <x:v>EVT-040</x:v>
      </x:c>
      <x:c r="B45" s="15" t="str">
        <x:v>P0</x:v>
      </x:c>
      <x:c r="C45" s="15" t="str">
        <x:v>Conteúdo</x:v>
      </x:c>
      <x:c r="D45" s="15" t="str">
        <x:v>Testar arquivos no equipamento do evento</x:v>
      </x:c>
      <x:c r="E45" s="15" t="str">
        <x:v>Técnica + palestrantes</x:v>
      </x:c>
      <x:c r="F45" s="16"/>
      <x:c r="G45" s="20" t="n">
        <x:v>-3</x:v>
      </x:c>
      <x:c r="H45" s="20" t="n">
        <x:v>-1</x:v>
      </x:c>
      <x:c r="I45" s="21" t="n">
        <x:f>IF(ISNUMBER(G45),'Visão'!$B$6+G45,"")</x:f>
        <x:v>46309</x:v>
      </x:c>
      <x:c r="J45" s="21" t="n">
        <x:f>IF(ISNUMBER(H45),'Visão'!$B$6+H45,"")</x:f>
        <x:v>46311</x:v>
      </x:c>
      <x:c r="K45" s="16" t="str">
        <x:v>EVT-039</x:v>
      </x:c>
      <x:c r="L45" s="16" t="str">
        <x:v>EVT-019</x:v>
      </x:c>
      <x:c r="M45" s="16" t="str">
        <x:v>EVT-020</x:v>
      </x:c>
      <x:c r="N45" s="16" t="str">
        <x:v>Não iniciado</x:v>
      </x:c>
      <x:c r="O45" s="15" t="str">
        <x:f>IF(N45="Não se aplica","Não se aplica",IF(N45="Concluído",IF(Q45="","Falta evidência",IF(R45&gt;0,"Revisar dependências","Concluído")),IF(N45="Bloqueado","Bloqueado",IF(J45="","Sem prazo",IF(J45&lt;'Visão'!$B$7,"Atrasado",IF(J45='Visão'!$B$7,"Hoje",IF(R45&gt;0,"Dependência pendente",IF(F45="","Sem responsável","No prazo"))))))))</x:f>
        <x:v>Dependência pendente</x:v>
      </x:c>
      <x:c r="P45" s="15" t="str">
        <x:v>Falas e demo abrem no dispositivo real, fontes e áudio conferidos.</x:v>
      </x:c>
      <x:c r="Q45" s="16"/>
      <x:c r="R45" s="15" t="n">
        <x:f>IF(K45="",0,IF(COUNTIFS($A$6:$A$65,K45,$N$6:$N$65,"Concluído")+COUNTIFS($A$6:$A$65,K45,$N$6:$N$65,"Não se aplica")&gt;0,0,1))+IF(L45="",0,IF(COUNTIFS($A$6:$A$65,L45,$N$6:$N$65,"Concluído")+COUNTIFS($A$6:$A$65,L45,$N$6:$N$65,"Não se aplica")&gt;0,0,1))+IF(M45="",0,IF(COUNTIFS($A$6:$A$65,M45,$N$6:$N$65,"Concluído")+COUNTIFS($A$6:$A$65,M45,$N$6:$N$65,"Não se aplica")&gt;0,0,1))</x:f>
        <x:v>3</x:v>
      </x:c>
    </x:row>
    <x:row r="46" ht="63" customHeight="1">
      <x:c r="A46" s="15" t="str">
        <x:v>EVT-041</x:v>
      </x:c>
      <x:c r="B46" s="15" t="str">
        <x:v>P1</x:v>
      </x:c>
      <x:c r="C46" s="15" t="str">
        <x:v>Comunicação</x:v>
      </x:c>
      <x:c r="D46" s="15" t="str">
        <x:v>Enviar orientações privadas aos confirmados</x:v>
      </x:c>
      <x:c r="E46" s="15" t="str">
        <x:v>Recepção a definir</x:v>
      </x:c>
      <x:c r="F46" s="16"/>
      <x:c r="G46" s="20" t="n">
        <x:v>-5</x:v>
      </x:c>
      <x:c r="H46" s="20" t="n">
        <x:v>-5</x:v>
      </x:c>
      <x:c r="I46" s="21" t="n">
        <x:f>IF(ISNUMBER(G46),'Visão'!$B$6+G46,"")</x:f>
        <x:v>46307</x:v>
      </x:c>
      <x:c r="J46" s="21" t="n">
        <x:f>IF(ISNUMBER(H46),'Visão'!$B$6+H46,"")</x:f>
        <x:v>46307</x:v>
      </x:c>
      <x:c r="K46" s="16" t="str">
        <x:v>EVT-034</x:v>
      </x:c>
      <x:c r="L46" s="16" t="str">
        <x:v>EVT-032</x:v>
      </x:c>
      <x:c r="M46" s="16"/>
      <x:c r="N46" s="16" t="str">
        <x:v>Não iniciado</x:v>
      </x:c>
      <x:c r="O46" s="15" t="str">
        <x:f>IF(N46="Não se aplica","Não se aplica",IF(N46="Concluído",IF(Q46="","Falta evidência",IF(R46&gt;0,"Revisar dependências","Concluído")),IF(N46="Bloqueado","Bloqueado",IF(J46="","Sem prazo",IF(J46&lt;'Visão'!$B$7,"Atrasado",IF(J46='Visão'!$B$7,"Hoje",IF(R46&gt;0,"Dependência pendente",IF(F46="","Sem responsável","No prazo"))))))))</x:f>
        <x:v>Dependência pendente</x:v>
      </x:c>
      <x:c r="P46" s="15" t="str">
        <x:v>Horários, acesso privado e orientações úteis enviados pelo organizador.</x:v>
      </x:c>
      <x:c r="Q46" s="16"/>
      <x:c r="R46" s="15" t="n">
        <x:f>IF(K46="",0,IF(COUNTIFS($A$6:$A$65,K46,$N$6:$N$65,"Concluído")+COUNTIFS($A$6:$A$65,K46,$N$6:$N$65,"Não se aplica")&gt;0,0,1))+IF(L46="",0,IF(COUNTIFS($A$6:$A$65,L46,$N$6:$N$65,"Concluído")+COUNTIFS($A$6:$A$65,L46,$N$6:$N$65,"Não se aplica")&gt;0,0,1))+IF(M46="",0,IF(COUNTIFS($A$6:$A$65,M46,$N$6:$N$65,"Concluído")+COUNTIFS($A$6:$A$65,M46,$N$6:$N$65,"Não se aplica")&gt;0,0,1))</x:f>
        <x:v>2</x:v>
      </x:c>
    </x:row>
    <x:row r="47" ht="63" customHeight="1">
      <x:c r="A47" s="15" t="str">
        <x:v>EVT-042</x:v>
      </x:c>
      <x:c r="B47" s="15" t="str">
        <x:v>P1</x:v>
      </x:c>
      <x:c r="C47" s="15" t="str">
        <x:v>Comunicação</x:v>
      </x:c>
      <x:c r="D47" s="15" t="str">
        <x:v>Enviar lembrete final pelo canal definido</x:v>
      </x:c>
      <x:c r="E47" s="15" t="str">
        <x:v>Recepção a definir</x:v>
      </x:c>
      <x:c r="F47" s="16"/>
      <x:c r="G47" s="20" t="n">
        <x:v>-1</x:v>
      </x:c>
      <x:c r="H47" s="20" t="n">
        <x:v>-1</x:v>
      </x:c>
      <x:c r="I47" s="21" t="n">
        <x:f>IF(ISNUMBER(G47),'Visão'!$B$6+G47,"")</x:f>
        <x:v>46311</x:v>
      </x:c>
      <x:c r="J47" s="21" t="n">
        <x:f>IF(ISNUMBER(H47),'Visão'!$B$6+H47,"")</x:f>
        <x:v>46311</x:v>
      </x:c>
      <x:c r="K47" s="16" t="str">
        <x:v>EVT-041</x:v>
      </x:c>
      <x:c r="L47" s="16"/>
      <x:c r="M47" s="16"/>
      <x:c r="N47" s="16" t="str">
        <x:v>Não iniciado</x:v>
      </x:c>
      <x:c r="O47" s="15" t="str">
        <x:f>IF(N47="Não se aplica","Não se aplica",IF(N47="Concluído",IF(Q47="","Falta evidência",IF(R47&gt;0,"Revisar dependências","Concluído")),IF(N47="Bloqueado","Bloqueado",IF(J47="","Sem prazo",IF(J47&lt;'Visão'!$B$7,"Atrasado",IF(J47='Visão'!$B$7,"Hoje",IF(R47&gt;0,"Dependência pendente",IF(F47="","Sem responsável","No prazo"))))))))</x:f>
        <x:v>Dependência pendente</x:v>
      </x:c>
      <x:c r="P47" s="15" t="str">
        <x:v>Lembrete de 16/10 enviado aos confirmados sem publicar dados privados.</x:v>
      </x:c>
      <x:c r="Q47" s="16"/>
      <x:c r="R47" s="15" t="n">
        <x:f>IF(K47="",0,IF(COUNTIFS($A$6:$A$65,K47,$N$6:$N$65,"Concluído")+COUNTIFS($A$6:$A$65,K47,$N$6:$N$65,"Não se aplica")&gt;0,0,1))+IF(L47="",0,IF(COUNTIFS($A$6:$A$65,L47,$N$6:$N$65,"Concluído")+COUNTIFS($A$6:$A$65,L47,$N$6:$N$65,"Não se aplica")&gt;0,0,1))+IF(M47="",0,IF(COUNTIFS($A$6:$A$65,M47,$N$6:$N$65,"Concluído")+COUNTIFS($A$6:$A$65,M47,$N$6:$N$65,"Não se aplica")&gt;0,0,1))</x:f>
        <x:v>1</x:v>
      </x:c>
    </x:row>
    <x:row r="48" ht="63" customHeight="1">
      <x:c r="A48" s="15" t="str">
        <x:v>EVT-043</x:v>
      </x:c>
      <x:c r="B48" s="15" t="str">
        <x:v>P0</x:v>
      </x:c>
      <x:c r="C48" s="15" t="str">
        <x:v>Operação</x:v>
      </x:c>
      <x:c r="D48" s="15" t="str">
        <x:v>Preparar lista de check-in e contagem agregada</x:v>
      </x:c>
      <x:c r="E48" s="15" t="str">
        <x:v>Recepção a definir</x:v>
      </x:c>
      <x:c r="F48" s="16"/>
      <x:c r="G48" s="20" t="n">
        <x:v>-3</x:v>
      </x:c>
      <x:c r="H48" s="20" t="n">
        <x:v>-1</x:v>
      </x:c>
      <x:c r="I48" s="21" t="n">
        <x:f>IF(ISNUMBER(G48),'Visão'!$B$6+G48,"")</x:f>
        <x:v>46309</x:v>
      </x:c>
      <x:c r="J48" s="21" t="n">
        <x:f>IF(ISNUMBER(H48),'Visão'!$B$6+H48,"")</x:f>
        <x:v>46311</x:v>
      </x:c>
      <x:c r="K48" s="16" t="str">
        <x:v>EVT-034</x:v>
      </x:c>
      <x:c r="L48" s="16" t="str">
        <x:v>EVT-028</x:v>
      </x:c>
      <x:c r="M48" s="16"/>
      <x:c r="N48" s="16" t="str">
        <x:v>Não iniciado</x:v>
      </x:c>
      <x:c r="O48" s="15" t="str">
        <x:f>IF(N48="Não se aplica","Não se aplica",IF(N48="Concluído",IF(Q48="","Falta evidência",IF(R48&gt;0,"Revisar dependências","Concluído")),IF(N48="Bloqueado","Bloqueado",IF(J48="","Sem prazo",IF(J48&lt;'Visão'!$B$7,"Atrasado",IF(J48='Visão'!$B$7,"Hoje",IF(R48&gt;0,"Dependência pendente",IF(F48="","Sem responsável","No prazo"))))))))</x:f>
        <x:v>Dependência pendente</x:v>
      </x:c>
      <x:c r="P48" s="15" t="str">
        <x:v>Lista restrita pronta, alternativa sem QR e total de refeições conferidos.</x:v>
      </x:c>
      <x:c r="Q48" s="16"/>
      <x:c r="R48" s="15" t="n">
        <x:f>IF(K48="",0,IF(COUNTIFS($A$6:$A$65,K48,$N$6:$N$65,"Concluído")+COUNTIFS($A$6:$A$65,K48,$N$6:$N$65,"Não se aplica")&gt;0,0,1))+IF(L48="",0,IF(COUNTIFS($A$6:$A$65,L48,$N$6:$N$65,"Concluído")+COUNTIFS($A$6:$A$65,L48,$N$6:$N$65,"Não se aplica")&gt;0,0,1))+IF(M48="",0,IF(COUNTIFS($A$6:$A$65,M48,$N$6:$N$65,"Concluído")+COUNTIFS($A$6:$A$65,M48,$N$6:$N$65,"Não se aplica")&gt;0,0,1))</x:f>
        <x:v>2</x:v>
      </x:c>
    </x:row>
    <x:row r="49" ht="63" customHeight="1">
      <x:c r="A49" s="15" t="str">
        <x:v>EVT-044</x:v>
      </x:c>
      <x:c r="B49" s="15" t="str">
        <x:v>P1</x:v>
      </x:c>
      <x:c r="C49" s="15" t="str">
        <x:v>Condução</x:v>
      </x:c>
      <x:c r="D49" s="15" t="str">
        <x:v>Preparar abertura, avisos de tempo e feedback</x:v>
      </x:c>
      <x:c r="E49" s="15" t="str">
        <x:v>Arthur + técnica a definir</x:v>
      </x:c>
      <x:c r="F49" s="16"/>
      <x:c r="G49" s="20" t="n">
        <x:v>-6</x:v>
      </x:c>
      <x:c r="H49" s="20" t="n">
        <x:v>-1</x:v>
      </x:c>
      <x:c r="I49" s="21" t="n">
        <x:f>IF(ISNUMBER(G49),'Visão'!$B$6+G49,"")</x:f>
        <x:v>46306</x:v>
      </x:c>
      <x:c r="J49" s="21" t="n">
        <x:f>IF(ISNUMBER(H49),'Visão'!$B$6+H49,"")</x:f>
        <x:v>46311</x:v>
      </x:c>
      <x:c r="K49" s="16" t="str">
        <x:v>EVT-032</x:v>
      </x:c>
      <x:c r="L49" s="16" t="str">
        <x:v>EVT-029</x:v>
      </x:c>
      <x:c r="M49" s="16"/>
      <x:c r="N49" s="16" t="str">
        <x:v>Não iniciado</x:v>
      </x:c>
      <x:c r="O49" s="15" t="str">
        <x:f>IF(N49="Não se aplica","Não se aplica",IF(N49="Concluído",IF(Q49="","Falta evidência",IF(R49&gt;0,"Revisar dependências","Concluído")),IF(N49="Bloqueado","Bloqueado",IF(J49="","Sem prazo",IF(J49&lt;'Visão'!$B$7,"Atrasado",IF(J49='Visão'!$B$7,"Hoje",IF(R49&gt;0,"Dependência pendente",IF(F49="","Sem responsável","No prazo"))))))))</x:f>
        <x:v>Dependência pendente</x:v>
      </x:c>
      <x:c r="P49" s="15" t="str">
        <x:v>Textos e cronômetro preparados. Feedback breve e voluntário.</x:v>
      </x:c>
      <x:c r="Q49" s="16"/>
      <x:c r="R49" s="15" t="n">
        <x:f>IF(K49="",0,IF(COUNTIFS($A$6:$A$65,K49,$N$6:$N$65,"Concluído")+COUNTIFS($A$6:$A$65,K49,$N$6:$N$65,"Não se aplica")&gt;0,0,1))+IF(L49="",0,IF(COUNTIFS($A$6:$A$65,L49,$N$6:$N$65,"Concluído")+COUNTIFS($A$6:$A$65,L49,$N$6:$N$65,"Não se aplica")&gt;0,0,1))+IF(M49="",0,IF(COUNTIFS($A$6:$A$65,M49,$N$6:$N$65,"Concluído")+COUNTIFS($A$6:$A$65,M49,$N$6:$N$65,"Não se aplica")&gt;0,0,1))</x:f>
        <x:v>2</x:v>
      </x:c>
    </x:row>
    <x:row r="50" ht="63" customHeight="1">
      <x:c r="A50" s="15" t="str">
        <x:v>EVT-045</x:v>
      </x:c>
      <x:c r="B50" s="15" t="str">
        <x:v>P0</x:v>
      </x:c>
      <x:c r="C50" s="15" t="str">
        <x:v>Revisão</x:v>
      </x:c>
      <x:c r="D50" s="15" t="str">
        <x:v>Executar teste geral e decisão final de viabilidade</x:v>
      </x:c>
      <x:c r="E50" s="15" t="str">
        <x:v>Equipe do evento</x:v>
      </x:c>
      <x:c r="F50" s="16"/>
      <x:c r="G50" s="20" t="n">
        <x:v>-1</x:v>
      </x:c>
      <x:c r="H50" s="20" t="n">
        <x:v>-1</x:v>
      </x:c>
      <x:c r="I50" s="21" t="n">
        <x:f>IF(ISNUMBER(G50),'Visão'!$B$6+G50,"")</x:f>
        <x:v>46311</x:v>
      </x:c>
      <x:c r="J50" s="21" t="n">
        <x:f>IF(ISNUMBER(H50),'Visão'!$B$6+H50,"")</x:f>
        <x:v>46311</x:v>
      </x:c>
      <x:c r="K50" s="16" t="str">
        <x:v>EVT-040</x:v>
      </x:c>
      <x:c r="L50" s="16" t="str">
        <x:v>EVT-038</x:v>
      </x:c>
      <x:c r="M50" s="16" t="str">
        <x:v>EVT-043</x:v>
      </x:c>
      <x:c r="N50" s="16" t="str">
        <x:v>Não iniciado</x:v>
      </x:c>
      <x:c r="O50" s="15" t="str">
        <x:f>IF(N50="Não se aplica","Não se aplica",IF(N50="Concluído",IF(Q50="","Falta evidência",IF(R50&gt;0,"Revisar dependências","Concluído")),IF(N50="Bloqueado","Bloqueado",IF(J50="","Sem prazo",IF(J50&lt;'Visão'!$B$7,"Atrasado",IF(J50='Visão'!$B$7,"Hoje",IF(R50&gt;0,"Dependência pendente",IF(F50="","Sem responsável","No prazo"))))))))</x:f>
        <x:v>Dependência pendente</x:v>
      </x:c>
      <x:c r="P50" s="15" t="str">
        <x:v>16/10: equipamento, apoio, comida e roteiro conferidos. Pendências tratadas.</x:v>
      </x:c>
      <x:c r="Q50" s="16"/>
      <x:c r="R50" s="15" t="n">
        <x:f>IF(K50="",0,IF(COUNTIFS($A$6:$A$65,K50,$N$6:$N$65,"Concluído")+COUNTIFS($A$6:$A$65,K50,$N$6:$N$65,"Não se aplica")&gt;0,0,1))+IF(L50="",0,IF(COUNTIFS($A$6:$A$65,L50,$N$6:$N$65,"Concluído")+COUNTIFS($A$6:$A$65,L50,$N$6:$N$65,"Não se aplica")&gt;0,0,1))+IF(M50="",0,IF(COUNTIFS($A$6:$A$65,M50,$N$6:$N$65,"Concluído")+COUNTIFS($A$6:$A$65,M50,$N$6:$N$65,"Não se aplica")&gt;0,0,1))</x:f>
        <x:v>3</x:v>
      </x:c>
    </x:row>
    <x:row r="51" ht="63" customHeight="1">
      <x:c r="A51" s="15" t="str">
        <x:v>EVT-046</x:v>
      </x:c>
      <x:c r="B51" s="15" t="str">
        <x:v>P0</x:v>
      </x:c>
      <x:c r="C51" s="15" t="str">
        <x:v>Operação</x:v>
      </x:c>
      <x:c r="D51" s="15" t="str">
        <x:v>Montar espaço e cozinha antes da recepção</x:v>
      </x:c>
      <x:c r="E51" s="15" t="str">
        <x:v>Henrique + preparo + técnica</x:v>
      </x:c>
      <x:c r="F51" s="16"/>
      <x:c r="G51" s="20" t="n">
        <x:v>0</x:v>
      </x:c>
      <x:c r="H51" s="20" t="n">
        <x:v>0</x:v>
      </x:c>
      <x:c r="I51" s="21" t="n">
        <x:f>IF(ISNUMBER(G51),'Visão'!$B$6+G51,"")</x:f>
        <x:v>46312</x:v>
      </x:c>
      <x:c r="J51" s="21" t="n">
        <x:f>IF(ISNUMBER(H51),'Visão'!$B$6+H51,"")</x:f>
        <x:v>46312</x:v>
      </x:c>
      <x:c r="K51" s="16" t="str">
        <x:v>EVT-045</x:v>
      </x:c>
      <x:c r="L51" s="16" t="str">
        <x:v>EVT-037</x:v>
      </x:c>
      <x:c r="M51" s="16" t="str">
        <x:v>EVT-038</x:v>
      </x:c>
      <x:c r="N51" s="16" t="str">
        <x:v>Não iniciado</x:v>
      </x:c>
      <x:c r="O51" s="15" t="str">
        <x:f>IF(N51="Não se aplica","Não se aplica",IF(N51="Concluído",IF(Q51="","Falta evidência",IF(R51&gt;0,"Revisar dependências","Concluído")),IF(N51="Bloqueado","Bloqueado",IF(J51="","Sem prazo",IF(J51&lt;'Visão'!$B$7,"Atrasado",IF(J51='Visão'!$B$7,"Hoje",IF(R51&gt;0,"Dependência pendente",IF(F51="","Sem responsável","No prazo"))))))))</x:f>
        <x:v>Dependência pendente</x:v>
      </x:c>
      <x:c r="P51" s="15" t="str">
        <x:v>Até 10h30: espaço, cozinha, projeção e água prontos.</x:v>
      </x:c>
      <x:c r="Q51" s="16"/>
      <x:c r="R51" s="15" t="n">
        <x:f>IF(K51="",0,IF(COUNTIFS($A$6:$A$65,K51,$N$6:$N$65,"Concluído")+COUNTIFS($A$6:$A$65,K51,$N$6:$N$65,"Não se aplica")&gt;0,0,1))+IF(L51="",0,IF(COUNTIFS($A$6:$A$65,L51,$N$6:$N$65,"Concluído")+COUNTIFS($A$6:$A$65,L51,$N$6:$N$65,"Não se aplica")&gt;0,0,1))+IF(M51="",0,IF(COUNTIFS($A$6:$A$65,M51,$N$6:$N$65,"Concluído")+COUNTIFS($A$6:$A$65,M51,$N$6:$N$65,"Não se aplica")&gt;0,0,1))</x:f>
        <x:v>3</x:v>
      </x:c>
    </x:row>
    <x:row r="52" ht="63" customHeight="1">
      <x:c r="A52" s="15" t="str">
        <x:v>EVT-047</x:v>
      </x:c>
      <x:c r="B52" s="15" t="str">
        <x:v>P0</x:v>
      </x:c>
      <x:c r="C52" s="15" t="str">
        <x:v>Operação</x:v>
      </x:c>
      <x:c r="D52" s="15" t="str">
        <x:v>Recepcionar e contar presença sem exceder limite</x:v>
      </x:c>
      <x:c r="E52" s="15" t="str">
        <x:v>Recepção a definir</x:v>
      </x:c>
      <x:c r="F52" s="16"/>
      <x:c r="G52" s="20" t="n">
        <x:v>0</x:v>
      </x:c>
      <x:c r="H52" s="20" t="n">
        <x:v>0</x:v>
      </x:c>
      <x:c r="I52" s="21" t="n">
        <x:f>IF(ISNUMBER(G52),'Visão'!$B$6+G52,"")</x:f>
        <x:v>46312</x:v>
      </x:c>
      <x:c r="J52" s="21" t="n">
        <x:f>IF(ISNUMBER(H52),'Visão'!$B$6+H52,"")</x:f>
        <x:v>46312</x:v>
      </x:c>
      <x:c r="K52" s="16" t="str">
        <x:v>EVT-046</x:v>
      </x:c>
      <x:c r="L52" s="16" t="str">
        <x:v>EVT-043</x:v>
      </x:c>
      <x:c r="M52" s="16"/>
      <x:c r="N52" s="16" t="str">
        <x:v>Não iniciado</x:v>
      </x:c>
      <x:c r="O52" s="15" t="str">
        <x:f>IF(N52="Não se aplica","Não se aplica",IF(N52="Concluído",IF(Q52="","Falta evidência",IF(R52&gt;0,"Revisar dependências","Concluído")),IF(N52="Bloqueado","Bloqueado",IF(J52="","Sem prazo",IF(J52&lt;'Visão'!$B$7,"Atrasado",IF(J52='Visão'!$B$7,"Hoje",IF(R52&gt;0,"Dependência pendente",IF(F52="","Sem responsável","No prazo"))))))))</x:f>
        <x:v>Dependência pendente</x:v>
      </x:c>
      <x:c r="P52" s="15" t="str">
        <x:v>10h30: check-in e orientação feitos por apoio. Contagem total atualizada.</x:v>
      </x:c>
      <x:c r="Q52" s="16"/>
      <x:c r="R52" s="15" t="n">
        <x:f>IF(K52="",0,IF(COUNTIFS($A$6:$A$65,K52,$N$6:$N$65,"Concluído")+COUNTIFS($A$6:$A$65,K52,$N$6:$N$65,"Não se aplica")&gt;0,0,1))+IF(L52="",0,IF(COUNTIFS($A$6:$A$65,L52,$N$6:$N$65,"Concluído")+COUNTIFS($A$6:$A$65,L52,$N$6:$N$65,"Não se aplica")&gt;0,0,1))+IF(M52="",0,IF(COUNTIFS($A$6:$A$65,M52,$N$6:$N$65,"Concluído")+COUNTIFS($A$6:$A$65,M52,$N$6:$N$65,"Não se aplica")&gt;0,0,1))</x:f>
        <x:v>2</x:v>
      </x:c>
    </x:row>
    <x:row r="53" ht="63" customHeight="1">
      <x:c r="A53" s="15" t="str">
        <x:v>EVT-048</x:v>
      </x:c>
      <x:c r="B53" s="15" t="str">
        <x:v>P0</x:v>
      </x:c>
      <x:c r="C53" s="15" t="str">
        <x:v>Operação</x:v>
      </x:c>
      <x:c r="D53" s="15" t="str">
        <x:v>Conduzir abertura, falas e perguntas</x:v>
      </x:c>
      <x:c r="E53" s="15" t="str">
        <x:v>Arthur + técnica a definir</x:v>
      </x:c>
      <x:c r="F53" s="16"/>
      <x:c r="G53" s="20" t="n">
        <x:v>0</x:v>
      </x:c>
      <x:c r="H53" s="20" t="n">
        <x:v>0</x:v>
      </x:c>
      <x:c r="I53" s="21" t="n">
        <x:f>IF(ISNUMBER(G53),'Visão'!$B$6+G53,"")</x:f>
        <x:v>46312</x:v>
      </x:c>
      <x:c r="J53" s="21" t="n">
        <x:f>IF(ISNUMBER(H53),'Visão'!$B$6+H53,"")</x:f>
        <x:v>46312</x:v>
      </x:c>
      <x:c r="K53" s="16" t="str">
        <x:v>EVT-046</x:v>
      </x:c>
      <x:c r="L53" s="16" t="str">
        <x:v>EVT-044</x:v>
      </x:c>
      <x:c r="M53" s="16" t="str">
        <x:v>EVT-040</x:v>
      </x:c>
      <x:c r="N53" s="16" t="str">
        <x:v>Não iniciado</x:v>
      </x:c>
      <x:c r="O53" s="15" t="str">
        <x:f>IF(N53="Não se aplica","Não se aplica",IF(N53="Concluído",IF(Q53="","Falta evidência",IF(R53&gt;0,"Revisar dependências","Concluído")),IF(N53="Bloqueado","Bloqueado",IF(J53="","Sem prazo",IF(J53&lt;'Visão'!$B$7,"Atrasado",IF(J53='Visão'!$B$7,"Hoje",IF(R53&gt;0,"Dependência pendente",IF(F53="","Sem responsável","No prazo"))))))))</x:f>
        <x:v>Dependência pendente</x:v>
      </x:c>
      <x:c r="P53" s="15" t="str">
        <x:v>Falas com avisos de tempo. Usar networking para perguntas excedentes.</x:v>
      </x:c>
      <x:c r="Q53" s="16"/>
      <x:c r="R53" s="15" t="n">
        <x:f>IF(K53="",0,IF(COUNTIFS($A$6:$A$65,K53,$N$6:$N$65,"Concluído")+COUNTIFS($A$6:$A$65,K53,$N$6:$N$65,"Não se aplica")&gt;0,0,1))+IF(L53="",0,IF(COUNTIFS($A$6:$A$65,L53,$N$6:$N$65,"Concluído")+COUNTIFS($A$6:$A$65,L53,$N$6:$N$65,"Não se aplica")&gt;0,0,1))+IF(M53="",0,IF(COUNTIFS($A$6:$A$65,M53,$N$6:$N$65,"Concluído")+COUNTIFS($A$6:$A$65,M53,$N$6:$N$65,"Não se aplica")&gt;0,0,1))</x:f>
        <x:v>3</x:v>
      </x:c>
    </x:row>
    <x:row r="54" ht="63" customHeight="1">
      <x:c r="A54" s="15" t="str">
        <x:v>EVT-049</x:v>
      </x:c>
      <x:c r="B54" s="15" t="str">
        <x:v>P0</x:v>
      </x:c>
      <x:c r="C54" s="15" t="str">
        <x:v>Operação</x:v>
      </x:c>
      <x:c r="D54" s="15" t="str">
        <x:v>Servir almoço e repor bebidas</x:v>
      </x:c>
      <x:c r="E54" s="15" t="str">
        <x:v>Preparo + apoio de serviço</x:v>
      </x:c>
      <x:c r="F54" s="16"/>
      <x:c r="G54" s="20" t="n">
        <x:v>0</x:v>
      </x:c>
      <x:c r="H54" s="20" t="n">
        <x:v>0</x:v>
      </x:c>
      <x:c r="I54" s="21" t="n">
        <x:f>IF(ISNUMBER(G54),'Visão'!$B$6+G54,"")</x:f>
        <x:v>46312</x:v>
      </x:c>
      <x:c r="J54" s="21" t="n">
        <x:f>IF(ISNUMBER(H54),'Visão'!$B$6+H54,"")</x:f>
        <x:v>46312</x:v>
      </x:c>
      <x:c r="K54" s="16" t="str">
        <x:v>EVT-046</x:v>
      </x:c>
      <x:c r="L54" s="16" t="str">
        <x:v>EVT-037</x:v>
      </x:c>
      <x:c r="M54" s="16" t="str">
        <x:v>EVT-038</x:v>
      </x:c>
      <x:c r="N54" s="16" t="str">
        <x:v>Não iniciado</x:v>
      </x:c>
      <x:c r="O54" s="15" t="str">
        <x:f>IF(N54="Não se aplica","Não se aplica",IF(N54="Concluído",IF(Q54="","Falta evidência",IF(R54&gt;0,"Revisar dependências","Concluído")),IF(N54="Bloqueado","Bloqueado",IF(J54="","Sem prazo",IF(J54&lt;'Visão'!$B$7,"Atrasado",IF(J54='Visão'!$B$7,"Hoje",IF(R54&gt;0,"Dependência pendente",IF(F54="","Sem responsável","No prazo"))))))))</x:f>
        <x:v>Dependência pendente</x:v>
      </x:c>
      <x:c r="P54" s="15" t="str">
        <x:v>Almoço inicia 12h30 com quantidade e necessidades conferidas pelo responsável.</x:v>
      </x:c>
      <x:c r="Q54" s="16"/>
      <x:c r="R54" s="15" t="n">
        <x:f>IF(K54="",0,IF(COUNTIFS($A$6:$A$65,K54,$N$6:$N$65,"Concluído")+COUNTIFS($A$6:$A$65,K54,$N$6:$N$65,"Não se aplica")&gt;0,0,1))+IF(L54="",0,IF(COUNTIFS($A$6:$A$65,L54,$N$6:$N$65,"Concluído")+COUNTIFS($A$6:$A$65,L54,$N$6:$N$65,"Não se aplica")&gt;0,0,1))+IF(M54="",0,IF(COUNTIFS($A$6:$A$65,M54,$N$6:$N$65,"Concluído")+COUNTIFS($A$6:$A$65,M54,$N$6:$N$65,"Não se aplica")&gt;0,0,1))</x:f>
        <x:v>3</x:v>
      </x:c>
    </x:row>
    <x:row r="55" ht="63" customHeight="1">
      <x:c r="A55" s="15" t="str">
        <x:v>EVT-050</x:v>
      </x:c>
      <x:c r="B55" s="15" t="str">
        <x:v>P1</x:v>
      </x:c>
      <x:c r="C55" s="15" t="str">
        <x:v>Operação</x:v>
      </x:c>
      <x:c r="D55" s="15" t="str">
        <x:v>Mediar Mesa 360 e dinâmica</x:v>
      </x:c>
      <x:c r="E55" s="15" t="str">
        <x:v>Moderador a definir + apoio</x:v>
      </x:c>
      <x:c r="F55" s="16"/>
      <x:c r="G55" s="20" t="n">
        <x:v>0</x:v>
      </x:c>
      <x:c r="H55" s="20" t="n">
        <x:v>0</x:v>
      </x:c>
      <x:c r="I55" s="21" t="n">
        <x:f>IF(ISNUMBER(G55),'Visão'!$B$6+G55,"")</x:f>
        <x:v>46312</x:v>
      </x:c>
      <x:c r="J55" s="21" t="n">
        <x:f>IF(ISNUMBER(H55),'Visão'!$B$6+H55,"")</x:f>
        <x:v>46312</x:v>
      </x:c>
      <x:c r="K55" s="16" t="str">
        <x:v>EVT-048</x:v>
      </x:c>
      <x:c r="L55" s="16" t="str">
        <x:v>EVT-029</x:v>
      </x:c>
      <x:c r="M55" s="16" t="str">
        <x:v>EVT-030</x:v>
      </x:c>
      <x:c r="N55" s="16" t="str">
        <x:v>Não iniciado</x:v>
      </x:c>
      <x:c r="O55" s="15" t="str">
        <x:f>IF(N55="Não se aplica","Não se aplica",IF(N55="Concluído",IF(Q55="","Falta evidência",IF(R55&gt;0,"Revisar dependências","Concluído")),IF(N55="Bloqueado","Bloqueado",IF(J55="","Sem prazo",IF(J55&lt;'Visão'!$B$7,"Atrasado",IF(J55='Visão'!$B$7,"Hoje",IF(R55&gt;0,"Dependência pendente",IF(F55="","Sem responsável","No prazo"))))))))</x:f>
        <x:v>Dependência pendente</x:v>
      </x:c>
      <x:c r="P55" s="15" t="str">
        <x:v>Rodada inclusiva e horários respeitados. Direito de passar preservado.</x:v>
      </x:c>
      <x:c r="Q55" s="16"/>
      <x:c r="R55" s="15" t="n">
        <x:f>IF(K55="",0,IF(COUNTIFS($A$6:$A$65,K55,$N$6:$N$65,"Concluído")+COUNTIFS($A$6:$A$65,K55,$N$6:$N$65,"Não se aplica")&gt;0,0,1))+IF(L55="",0,IF(COUNTIFS($A$6:$A$65,L55,$N$6:$N$65,"Concluído")+COUNTIFS($A$6:$A$65,L55,$N$6:$N$65,"Não se aplica")&gt;0,0,1))+IF(M55="",0,IF(COUNTIFS($A$6:$A$65,M55,$N$6:$N$65,"Concluído")+COUNTIFS($A$6:$A$65,M55,$N$6:$N$65,"Não se aplica")&gt;0,0,1))</x:f>
        <x:v>3</x:v>
      </x:c>
    </x:row>
    <x:row r="56" ht="63" customHeight="1">
      <x:c r="A56" s="15" t="str">
        <x:v>EVT-051</x:v>
      </x:c>
      <x:c r="B56" s="15" t="str">
        <x:v>P0</x:v>
      </x:c>
      <x:c r="C56" s="15" t="str">
        <x:v>Operação</x:v>
      </x:c>
      <x:c r="D56" s="15" t="str">
        <x:v>Servir lanche e organizar resíduos</x:v>
      </x:c>
      <x:c r="E56" s="15" t="str">
        <x:v>Apoio de serviço a definir</x:v>
      </x:c>
      <x:c r="F56" s="16"/>
      <x:c r="G56" s="20" t="n">
        <x:v>0</x:v>
      </x:c>
      <x:c r="H56" s="20" t="n">
        <x:v>0</x:v>
      </x:c>
      <x:c r="I56" s="21" t="n">
        <x:f>IF(ISNUMBER(G56),'Visão'!$B$6+G56,"")</x:f>
        <x:v>46312</x:v>
      </x:c>
      <x:c r="J56" s="21" t="n">
        <x:f>IF(ISNUMBER(H56),'Visão'!$B$6+H56,"")</x:f>
        <x:v>46312</x:v>
      </x:c>
      <x:c r="K56" s="16" t="str">
        <x:v>EVT-049</x:v>
      </x:c>
      <x:c r="L56" s="16" t="str">
        <x:v>EVT-038</x:v>
      </x:c>
      <x:c r="M56" s="16"/>
      <x:c r="N56" s="16" t="str">
        <x:v>Não iniciado</x:v>
      </x:c>
      <x:c r="O56" s="15" t="str">
        <x:f>IF(N56="Não se aplica","Não se aplica",IF(N56="Concluído",IF(Q56="","Falta evidência",IF(R56&gt;0,"Revisar dependências","Concluído")),IF(N56="Bloqueado","Bloqueado",IF(J56="","Sem prazo",IF(J56&lt;'Visão'!$B$7,"Atrasado",IF(J56='Visão'!$B$7,"Hoje",IF(R56&gt;0,"Dependência pendente",IF(F56="","Sem responsável","No prazo"))))))))</x:f>
        <x:v>Dependência pendente</x:v>
      </x:c>
      <x:c r="P56" s="15" t="str">
        <x:v>Lanche às 15h e espaço de alimentação organizado.</x:v>
      </x:c>
      <x:c r="Q56" s="16"/>
      <x:c r="R56" s="15" t="n">
        <x:f>IF(K56="",0,IF(COUNTIFS($A$6:$A$65,K56,$N$6:$N$65,"Concluído")+COUNTIFS($A$6:$A$65,K56,$N$6:$N$65,"Não se aplica")&gt;0,0,1))+IF(L56="",0,IF(COUNTIFS($A$6:$A$65,L56,$N$6:$N$65,"Concluído")+COUNTIFS($A$6:$A$65,L56,$N$6:$N$65,"Não se aplica")&gt;0,0,1))+IF(M56="",0,IF(COUNTIFS($A$6:$A$65,M56,$N$6:$N$65,"Concluído")+COUNTIFS($A$6:$A$65,M56,$N$6:$N$65,"Não se aplica")&gt;0,0,1))</x:f>
        <x:v>2</x:v>
      </x:c>
    </x:row>
    <x:row r="57" ht="63" customHeight="1">
      <x:c r="A57" s="15" t="str">
        <x:v>EVT-052</x:v>
      </x:c>
      <x:c r="B57" s="15" t="str">
        <x:v>P1</x:v>
      </x:c>
      <x:c r="C57" s="15" t="str">
        <x:v>Operação</x:v>
      </x:c>
      <x:c r="D57" s="15" t="str">
        <x:v>Coletar feedback e fazer foto opcional</x:v>
      </x:c>
      <x:c r="E57" s="15" t="str">
        <x:v>Apoio a definir</x:v>
      </x:c>
      <x:c r="F57" s="16"/>
      <x:c r="G57" s="20" t="n">
        <x:v>0</x:v>
      </x:c>
      <x:c r="H57" s="20" t="n">
        <x:v>0</x:v>
      </x:c>
      <x:c r="I57" s="21" t="n">
        <x:f>IF(ISNUMBER(G57),'Visão'!$B$6+G57,"")</x:f>
        <x:v>46312</x:v>
      </x:c>
      <x:c r="J57" s="21" t="n">
        <x:f>IF(ISNUMBER(H57),'Visão'!$B$6+H57,"")</x:f>
        <x:v>46312</x:v>
      </x:c>
      <x:c r="K57" s="16" t="str">
        <x:v>EVT-050</x:v>
      </x:c>
      <x:c r="L57" s="16" t="str">
        <x:v>EVT-031</x:v>
      </x:c>
      <x:c r="M57" s="16" t="str">
        <x:v>EVT-044</x:v>
      </x:c>
      <x:c r="N57" s="16" t="str">
        <x:v>Não iniciado</x:v>
      </x:c>
      <x:c r="O57" s="15" t="str">
        <x:f>IF(N57="Não se aplica","Não se aplica",IF(N57="Concluído",IF(Q57="","Falta evidência",IF(R57&gt;0,"Revisar dependências","Concluído")),IF(N57="Bloqueado","Bloqueado",IF(J57="","Sem prazo",IF(J57&lt;'Visão'!$B$7,"Atrasado",IF(J57='Visão'!$B$7,"Hoje",IF(R57&gt;0,"Dependência pendente",IF(F57="","Sem responsável","No prazo"))))))))</x:f>
        <x:v>Dependência pendente</x:v>
      </x:c>
      <x:c r="P57" s="15" t="str">
        <x:v>Feedback voluntário. Foto apenas com quem concordar.</x:v>
      </x:c>
      <x:c r="Q57" s="16"/>
      <x:c r="R57" s="15" t="n">
        <x:f>IF(K57="",0,IF(COUNTIFS($A$6:$A$65,K57,$N$6:$N$65,"Concluído")+COUNTIFS($A$6:$A$65,K57,$N$6:$N$65,"Não se aplica")&gt;0,0,1))+IF(L57="",0,IF(COUNTIFS($A$6:$A$65,L57,$N$6:$N$65,"Concluído")+COUNTIFS($A$6:$A$65,L57,$N$6:$N$65,"Não se aplica")&gt;0,0,1))+IF(M57="",0,IF(COUNTIFS($A$6:$A$65,M57,$N$6:$N$65,"Concluído")+COUNTIFS($A$6:$A$65,M57,$N$6:$N$65,"Não se aplica")&gt;0,0,1))</x:f>
        <x:v>3</x:v>
      </x:c>
    </x:row>
    <x:row r="58" ht="63" customHeight="1">
      <x:c r="A58" s="15" t="str">
        <x:v>EVT-053</x:v>
      </x:c>
      <x:c r="B58" s="15" t="str">
        <x:v>P0</x:v>
      </x:c>
      <x:c r="C58" s="15" t="str">
        <x:v>Operação</x:v>
      </x:c>
      <x:c r="D58" s="15" t="str">
        <x:v>Encerrar e desmontar o espaço</x:v>
      </x:c>
      <x:c r="E58" s="15" t="str">
        <x:v>Arthur + Henrique + apoio</x:v>
      </x:c>
      <x:c r="F58" s="16"/>
      <x:c r="G58" s="20" t="n">
        <x:v>0</x:v>
      </x:c>
      <x:c r="H58" s="20" t="n">
        <x:v>0</x:v>
      </x:c>
      <x:c r="I58" s="21" t="n">
        <x:f>IF(ISNUMBER(G58),'Visão'!$B$6+G58,"")</x:f>
        <x:v>46312</x:v>
      </x:c>
      <x:c r="J58" s="21" t="n">
        <x:f>IF(ISNUMBER(H58),'Visão'!$B$6+H58,"")</x:f>
        <x:v>46312</x:v>
      </x:c>
      <x:c r="K58" s="16" t="str">
        <x:v>EVT-051</x:v>
      </x:c>
      <x:c r="L58" s="16" t="str">
        <x:v>EVT-052</x:v>
      </x:c>
      <x:c r="M58" s="16"/>
      <x:c r="N58" s="16" t="str">
        <x:v>Não iniciado</x:v>
      </x:c>
      <x:c r="O58" s="15" t="str">
        <x:f>IF(N58="Não se aplica","Não se aplica",IF(N58="Concluído",IF(Q58="","Falta evidência",IF(R58&gt;0,"Revisar dependências","Concluído")),IF(N58="Bloqueado","Bloqueado",IF(J58="","Sem prazo",IF(J58&lt;'Visão'!$B$7,"Atrasado",IF(J58='Visão'!$B$7,"Hoje",IF(R58&gt;0,"Dependência pendente",IF(F58="","Sem responsável","No prazo"))))))))</x:f>
        <x:v>Dependência pendente</x:v>
      </x:c>
      <x:c r="P58" s="15" t="str">
        <x:v>Público encerra 17h. Após saída, itens devolvidos e casa conferida.</x:v>
      </x:c>
      <x:c r="Q58" s="16"/>
      <x:c r="R58" s="15" t="n">
        <x:f>IF(K58="",0,IF(COUNTIFS($A$6:$A$65,K58,$N$6:$N$65,"Concluído")+COUNTIFS($A$6:$A$65,K58,$N$6:$N$65,"Não se aplica")&gt;0,0,1))+IF(L58="",0,IF(COUNTIFS($A$6:$A$65,L58,$N$6:$N$65,"Concluído")+COUNTIFS($A$6:$A$65,L58,$N$6:$N$65,"Não se aplica")&gt;0,0,1))+IF(M58="",0,IF(COUNTIFS($A$6:$A$65,M58,$N$6:$N$65,"Concluído")+COUNTIFS($A$6:$A$65,M58,$N$6:$N$65,"Não se aplica")&gt;0,0,1))</x:f>
        <x:v>2</x:v>
      </x:c>
    </x:row>
    <x:row r="59" ht="63" customHeight="1">
      <x:c r="A59" s="15" t="str">
        <x:v>EVT-054</x:v>
      </x:c>
      <x:c r="B59" s="15" t="str">
        <x:v>P0</x:v>
      </x:c>
      <x:c r="C59" s="15" t="str">
        <x:v>Pós-evento</x:v>
      </x:c>
      <x:c r="D59" s="15" t="str">
        <x:v>Conciliar custos e aportes com comprovantes</x:v>
      </x:c>
      <x:c r="E59" s="15" t="str">
        <x:v>Arthur + Henrique</x:v>
      </x:c>
      <x:c r="F59" s="16"/>
      <x:c r="G59" s="20" t="n">
        <x:v>1</x:v>
      </x:c>
      <x:c r="H59" s="20" t="n">
        <x:v>4</x:v>
      </x:c>
      <x:c r="I59" s="21" t="n">
        <x:f>IF(ISNUMBER(G59),'Visão'!$B$6+G59,"")</x:f>
        <x:v>46313</x:v>
      </x:c>
      <x:c r="J59" s="21" t="n">
        <x:f>IF(ISNUMBER(H59),'Visão'!$B$6+H59,"")</x:f>
        <x:v>46316</x:v>
      </x:c>
      <x:c r="K59" s="16" t="str">
        <x:v>EVT-053</x:v>
      </x:c>
      <x:c r="L59" s="16" t="str">
        <x:v>EVT-036</x:v>
      </x:c>
      <x:c r="M59" s="16"/>
      <x:c r="N59" s="16" t="str">
        <x:v>Não iniciado</x:v>
      </x:c>
      <x:c r="O59" s="15" t="str">
        <x:f>IF(N59="Não se aplica","Não se aplica",IF(N59="Concluído",IF(Q59="","Falta evidência",IF(R59&gt;0,"Revisar dependências","Concluído")),IF(N59="Bloqueado","Bloqueado",IF(J59="","Sem prazo",IF(J59&lt;'Visão'!$B$7,"Atrasado",IF(J59='Visão'!$B$7,"Hoje",IF(R59&gt;0,"Dependência pendente",IF(F59="","Sem responsável","No prazo"))))))))</x:f>
        <x:v>Dependência pendente</x:v>
      </x:c>
      <x:c r="P59" s="15" t="str">
        <x:v>Gastos reais completos, saldo e acerto entre organizadores registrados.</x:v>
      </x:c>
      <x:c r="Q59" s="16"/>
      <x:c r="R59" s="15" t="n">
        <x:f>IF(K59="",0,IF(COUNTIFS($A$6:$A$65,K59,$N$6:$N$65,"Concluído")+COUNTIFS($A$6:$A$65,K59,$N$6:$N$65,"Não se aplica")&gt;0,0,1))+IF(L59="",0,IF(COUNTIFS($A$6:$A$65,L59,$N$6:$N$65,"Concluído")+COUNTIFS($A$6:$A$65,L59,$N$6:$N$65,"Não se aplica")&gt;0,0,1))+IF(M59="",0,IF(COUNTIFS($A$6:$A$65,M59,$N$6:$N$65,"Concluído")+COUNTIFS($A$6:$A$65,M59,$N$6:$N$65,"Não se aplica")&gt;0,0,1))</x:f>
        <x:v>2</x:v>
      </x:c>
    </x:row>
    <x:row r="60" ht="63" customHeight="1">
      <x:c r="A60" s="15" t="str">
        <x:v>EVT-055</x:v>
      </x:c>
      <x:c r="B60" s="15" t="str">
        <x:v>P1</x:v>
      </x:c>
      <x:c r="C60" s="15" t="str">
        <x:v>Pós-evento</x:v>
      </x:c>
      <x:c r="D60" s="15" t="str">
        <x:v>Agradecer e compartilhar materiais autorizados</x:v>
      </x:c>
      <x:c r="E60" s="15" t="str">
        <x:v>Arthur</x:v>
      </x:c>
      <x:c r="F60" s="16"/>
      <x:c r="G60" s="20" t="n">
        <x:v>1</x:v>
      </x:c>
      <x:c r="H60" s="20" t="n">
        <x:v>4</x:v>
      </x:c>
      <x:c r="I60" s="21" t="n">
        <x:f>IF(ISNUMBER(G60),'Visão'!$B$6+G60,"")</x:f>
        <x:v>46313</x:v>
      </x:c>
      <x:c r="J60" s="21" t="n">
        <x:f>IF(ISNUMBER(H60),'Visão'!$B$6+H60,"")</x:f>
        <x:v>46316</x:v>
      </x:c>
      <x:c r="K60" s="16" t="str">
        <x:v>EVT-053</x:v>
      </x:c>
      <x:c r="L60" s="16" t="str">
        <x:v>EVT-031</x:v>
      </x:c>
      <x:c r="M60" s="16"/>
      <x:c r="N60" s="16" t="str">
        <x:v>Não iniciado</x:v>
      </x:c>
      <x:c r="O60" s="15" t="str">
        <x:f>IF(N60="Não se aplica","Não se aplica",IF(N60="Concluído",IF(Q60="","Falta evidência",IF(R60&gt;0,"Revisar dependências","Concluído")),IF(N60="Bloqueado","Bloqueado",IF(J60="","Sem prazo",IF(J60&lt;'Visão'!$B$7,"Atrasado",IF(J60='Visão'!$B$7,"Hoje",IF(R60&gt;0,"Dependência pendente",IF(F60="","Sem responsável","No prazo"))))))))</x:f>
        <x:v>Dependência pendente</x:v>
      </x:c>
      <x:c r="P60" s="15" t="str">
        <x:v>Envio pelos organizadores, apenas materiais e imagens com combinação válida.</x:v>
      </x:c>
      <x:c r="Q60" s="16"/>
      <x:c r="R60" s="15" t="n">
        <x:f>IF(K60="",0,IF(COUNTIFS($A$6:$A$65,K60,$N$6:$N$65,"Concluído")+COUNTIFS($A$6:$A$65,K60,$N$6:$N$65,"Não se aplica")&gt;0,0,1))+IF(L60="",0,IF(COUNTIFS($A$6:$A$65,L60,$N$6:$N$65,"Concluído")+COUNTIFS($A$6:$A$65,L60,$N$6:$N$65,"Não se aplica")&gt;0,0,1))+IF(M60="",0,IF(COUNTIFS($A$6:$A$65,M60,$N$6:$N$65,"Concluído")+COUNTIFS($A$6:$A$65,M60,$N$6:$N$65,"Não se aplica")&gt;0,0,1))</x:f>
        <x:v>2</x:v>
      </x:c>
    </x:row>
    <x:row r="61" ht="63" customHeight="1">
      <x:c r="A61" s="15" t="str">
        <x:v>EVT-056</x:v>
      </x:c>
      <x:c r="B61" s="15" t="str">
        <x:v>P1</x:v>
      </x:c>
      <x:c r="C61" s="15" t="str">
        <x:v>Pós-evento</x:v>
      </x:c>
      <x:c r="D61" s="15" t="str">
        <x:v>Registrar lições aprendidas e próximos passos</x:v>
      </x:c>
      <x:c r="E61" s="15" t="str">
        <x:v>Arthur + Henrique</x:v>
      </x:c>
      <x:c r="F61" s="16"/>
      <x:c r="G61" s="20" t="n">
        <x:v>1</x:v>
      </x:c>
      <x:c r="H61" s="20" t="n">
        <x:v>7</x:v>
      </x:c>
      <x:c r="I61" s="21" t="n">
        <x:f>IF(ISNUMBER(G61),'Visão'!$B$6+G61,"")</x:f>
        <x:v>46313</x:v>
      </x:c>
      <x:c r="J61" s="21" t="n">
        <x:f>IF(ISNUMBER(H61),'Visão'!$B$6+H61,"")</x:f>
        <x:v>46319</x:v>
      </x:c>
      <x:c r="K61" s="16" t="str">
        <x:v>EVT-054</x:v>
      </x:c>
      <x:c r="L61" s="16" t="str">
        <x:v>EVT-055</x:v>
      </x:c>
      <x:c r="M61" s="16"/>
      <x:c r="N61" s="16" t="str">
        <x:v>Não iniciado</x:v>
      </x:c>
      <x:c r="O61" s="15" t="str">
        <x:f>IF(N61="Não se aplica","Não se aplica",IF(N61="Concluído",IF(Q61="","Falta evidência",IF(R61&gt;0,"Revisar dependências","Concluído")),IF(N61="Bloqueado","Bloqueado",IF(J61="","Sem prazo",IF(J61&lt;'Visão'!$B$7,"Atrasado",IF(J61='Visão'!$B$7,"Hoje",IF(R61&gt;0,"Dependência pendente",IF(F61="","Sem responsável","No prazo"))))))))</x:f>
        <x:v>Dependência pendente</x:v>
      </x:c>
      <x:c r="P61" s="15" t="str">
        <x:v>Síntese até 24/10 com feedback, custo final e decisão sobre continuidade.</x:v>
      </x:c>
      <x:c r="Q61" s="16"/>
      <x:c r="R61" s="15" t="n">
        <x:f>IF(K61="",0,IF(COUNTIFS($A$6:$A$65,K61,$N$6:$N$65,"Concluído")+COUNTIFS($A$6:$A$65,K61,$N$6:$N$65,"Não se aplica")&gt;0,0,1))+IF(L61="",0,IF(COUNTIFS($A$6:$A$65,L61,$N$6:$N$65,"Concluído")+COUNTIFS($A$6:$A$65,L61,$N$6:$N$65,"Não se aplica")&gt;0,0,1))+IF(M61="",0,IF(COUNTIFS($A$6:$A$65,M61,$N$6:$N$65,"Concluído")+COUNTIFS($A$6:$A$65,M61,$N$6:$N$65,"Não se aplica")&gt;0,0,1))</x:f>
        <x:v>2</x:v>
      </x:c>
    </x:row>
    <x:row r="62" ht="63" customHeight="1">
      <x:c r="A62" s="15" t="str">
        <x:v>EVT-057</x:v>
      </x:c>
      <x:c r="B62" s="15" t="str">
        <x:v>P2</x:v>
      </x:c>
      <x:c r="C62" s="15" t="str">
        <x:v>Opcionais</x:v>
      </x:c>
      <x:c r="D62" s="15" t="str">
        <x:v>Avaliar banner físico somente se houver verba</x:v>
      </x:c>
      <x:c r="E62" s="15" t="str">
        <x:v>Arthur</x:v>
      </x:c>
      <x:c r="F62" s="16"/>
      <x:c r="G62" s="20" t="n">
        <x:v>-27</x:v>
      </x:c>
      <x:c r="H62" s="20" t="n">
        <x:v>-13</x:v>
      </x:c>
      <x:c r="I62" s="21" t="n">
        <x:f>IF(ISNUMBER(G62),'Visão'!$B$6+G62,"")</x:f>
        <x:v>46285</x:v>
      </x:c>
      <x:c r="J62" s="21" t="n">
        <x:f>IF(ISNUMBER(H62),'Visão'!$B$6+H62,"")</x:f>
        <x:v>46299</x:v>
      </x:c>
      <x:c r="K62" s="16" t="str">
        <x:v>EVT-003</x:v>
      </x:c>
      <x:c r="L62" s="16"/>
      <x:c r="M62" s="16"/>
      <x:c r="N62" s="16" t="str">
        <x:v>Não iniciado</x:v>
      </x:c>
      <x:c r="O62" s="15" t="str">
        <x:f>IF(N62="Não se aplica","Não se aplica",IF(N62="Concluído",IF(Q62="","Falta evidência",IF(R62&gt;0,"Revisar dependências","Concluído")),IF(N62="Bloqueado","Bloqueado",IF(J62="","Sem prazo",IF(J62&lt;'Visão'!$B$7,"Atrasado",IF(J62='Visão'!$B$7,"Hoje",IF(R62&gt;0,"Dependência pendente",IF(F62="","Sem responsável","No prazo"))))))))</x:f>
        <x:v>Dependência pendente</x:v>
      </x:c>
      <x:c r="P62" s="15" t="str">
        <x:v>Sem verba aprovada. Cotar e executar apenas após decisão explícita.</x:v>
      </x:c>
      <x:c r="Q62" s="16"/>
      <x:c r="R62" s="15" t="n">
        <x:f>IF(K62="",0,IF(COUNTIFS($A$6:$A$65,K62,$N$6:$N$65,"Concluído")+COUNTIFS($A$6:$A$65,K62,$N$6:$N$65,"Não se aplica")&gt;0,0,1))+IF(L62="",0,IF(COUNTIFS($A$6:$A$65,L62,$N$6:$N$65,"Concluído")+COUNTIFS($A$6:$A$65,L62,$N$6:$N$65,"Não se aplica")&gt;0,0,1))+IF(M62="",0,IF(COUNTIFS($A$6:$A$65,M62,$N$6:$N$65,"Concluído")+COUNTIFS($A$6:$A$65,M62,$N$6:$N$65,"Não se aplica")&gt;0,0,1))</x:f>
        <x:v>1</x:v>
      </x:c>
    </x:row>
    <x:row r="63" ht="63" customHeight="1">
      <x:c r="A63" s="15" t="str">
        <x:v>EVT-058</x:v>
      </x:c>
      <x:c r="B63" s="15" t="str">
        <x:v>P2</x:v>
      </x:c>
      <x:c r="C63" s="15" t="str">
        <x:v>Opcionais</x:v>
      </x:c>
      <x:c r="D63" s="15" t="str">
        <x:v>Avaliar brindes ou sorteio sem comprometer comida</x:v>
      </x:c>
      <x:c r="E63" s="15" t="str">
        <x:v>Arthur</x:v>
      </x:c>
      <x:c r="F63" s="16"/>
      <x:c r="G63" s="20" t="n">
        <x:v>-27</x:v>
      </x:c>
      <x:c r="H63" s="20" t="n">
        <x:v>-13</x:v>
      </x:c>
      <x:c r="I63" s="21" t="n">
        <x:f>IF(ISNUMBER(G63),'Visão'!$B$6+G63,"")</x:f>
        <x:v>46285</x:v>
      </x:c>
      <x:c r="J63" s="21" t="n">
        <x:f>IF(ISNUMBER(H63),'Visão'!$B$6+H63,"")</x:f>
        <x:v>46299</x:v>
      </x:c>
      <x:c r="K63" s="16" t="str">
        <x:v>EVT-003</x:v>
      </x:c>
      <x:c r="L63" s="16"/>
      <x:c r="M63" s="16"/>
      <x:c r="N63" s="16" t="str">
        <x:v>Não iniciado</x:v>
      </x:c>
      <x:c r="O63" s="15" t="str">
        <x:f>IF(N63="Não se aplica","Não se aplica",IF(N63="Concluído",IF(Q63="","Falta evidência",IF(R63&gt;0,"Revisar dependências","Concluído")),IF(N63="Bloqueado","Bloqueado",IF(J63="","Sem prazo",IF(J63&lt;'Visão'!$B$7,"Atrasado",IF(J63='Visão'!$B$7,"Hoje",IF(R63&gt;0,"Dependência pendente",IF(F63="","Sem responsável","No prazo"))))))))</x:f>
        <x:v>Dependência pendente</x:v>
      </x:c>
      <x:c r="P63" s="15" t="str">
        <x:v>Sem verba aprovada. Responsável, regra e custo dependem de aprovação.</x:v>
      </x:c>
      <x:c r="Q63" s="16"/>
      <x:c r="R63" s="15" t="n">
        <x:f>IF(K63="",0,IF(COUNTIFS($A$6:$A$65,K63,$N$6:$N$65,"Concluído")+COUNTIFS($A$6:$A$65,K63,$N$6:$N$65,"Não se aplica")&gt;0,0,1))+IF(L63="",0,IF(COUNTIFS($A$6:$A$65,L63,$N$6:$N$65,"Concluído")+COUNTIFS($A$6:$A$65,L63,$N$6:$N$65,"Não se aplica")&gt;0,0,1))+IF(M63="",0,IF(COUNTIFS($A$6:$A$65,M63,$N$6:$N$65,"Concluído")+COUNTIFS($A$6:$A$65,M63,$N$6:$N$65,"Não se aplica")&gt;0,0,1))</x:f>
        <x:v>1</x:v>
      </x:c>
    </x:row>
    <x:row r="64" ht="63" customHeight="1">
      <x:c r="A64" s="15" t="str">
        <x:v>EVT-059</x:v>
      </x:c>
      <x:c r="B64" s="15" t="str">
        <x:v>P2</x:v>
      </x:c>
      <x:c r="C64" s="15" t="str">
        <x:v>Opcionais</x:v>
      </x:c>
      <x:c r="D64" s="15" t="str">
        <x:v>Avaliar live somente com operador exclusivo</x:v>
      </x:c>
      <x:c r="E64" s="15" t="str">
        <x:v>Arthur + Henrique</x:v>
      </x:c>
      <x:c r="F64" s="16"/>
      <x:c r="G64" s="20" t="n">
        <x:v>-27</x:v>
      </x:c>
      <x:c r="H64" s="20" t="n">
        <x:v>-13</x:v>
      </x:c>
      <x:c r="I64" s="21" t="n">
        <x:f>IF(ISNUMBER(G64),'Visão'!$B$6+G64,"")</x:f>
        <x:v>46285</x:v>
      </x:c>
      <x:c r="J64" s="21" t="n">
        <x:f>IF(ISNUMBER(H64),'Visão'!$B$6+H64,"")</x:f>
        <x:v>46299</x:v>
      </x:c>
      <x:c r="K64" s="16" t="str">
        <x:v>EVT-020</x:v>
      </x:c>
      <x:c r="L64" s="16" t="str">
        <x:v>EVT-028</x:v>
      </x:c>
      <x:c r="M64" s="16" t="str">
        <x:v>EVT-031</x:v>
      </x:c>
      <x:c r="N64" s="16" t="str">
        <x:v>Não iniciado</x:v>
      </x:c>
      <x:c r="O64" s="15" t="str">
        <x:f>IF(N64="Não se aplica","Não se aplica",IF(N64="Concluído",IF(Q64="","Falta evidência",IF(R64&gt;0,"Revisar dependências","Concluído")),IF(N64="Bloqueado","Bloqueado",IF(J64="","Sem prazo",IF(J64&lt;'Visão'!$B$7,"Atrasado",IF(J64='Visão'!$B$7,"Hoje",IF(R64&gt;0,"Dependência pendente",IF(F64="","Sem responsável","No prazo"))))))))</x:f>
        <x:v>Dependência pendente</x:v>
      </x:c>
      <x:c r="P64" s="15" t="str">
        <x:v>Fora da operação prevista. Exige público, operador, recursos e aprovação.</x:v>
      </x:c>
      <x:c r="Q64" s="16"/>
      <x:c r="R64" s="15" t="n">
        <x:f>IF(K64="",0,IF(COUNTIFS($A$6:$A$65,K64,$N$6:$N$65,"Concluído")+COUNTIFS($A$6:$A$65,K64,$N$6:$N$65,"Não se aplica")&gt;0,0,1))+IF(L64="",0,IF(COUNTIFS($A$6:$A$65,L64,$N$6:$N$65,"Concluído")+COUNTIFS($A$6:$A$65,L64,$N$6:$N$65,"Não se aplica")&gt;0,0,1))+IF(M64="",0,IF(COUNTIFS($A$6:$A$65,M64,$N$6:$N$65,"Concluído")+COUNTIFS($A$6:$A$65,M64,$N$6:$N$65,"Não se aplica")&gt;0,0,1))</x:f>
        <x:v>3</x:v>
      </x:c>
    </x:row>
    <x:row r="65" ht="63" customHeight="1">
      <x:c r="A65" s="15" t="str">
        <x:v>EVT-060</x:v>
      </x:c>
      <x:c r="B65" s="15" t="str">
        <x:v>P2</x:v>
      </x:c>
      <x:c r="C65" s="15" t="str">
        <x:v>Opcionais</x:v>
      </x:c>
      <x:c r="D65" s="15" t="str">
        <x:v>Avaliar QR ou ambientação digital simples</x:v>
      </x:c>
      <x:c r="E65" s="15" t="str">
        <x:v>Apoio a definir</x:v>
      </x:c>
      <x:c r="F65" s="16"/>
      <x:c r="G65" s="20" t="n">
        <x:v>-20</x:v>
      </x:c>
      <x:c r="H65" s="20" t="n">
        <x:v>-6</x:v>
      </x:c>
      <x:c r="I65" s="21" t="n">
        <x:f>IF(ISNUMBER(G65),'Visão'!$B$6+G65,"")</x:f>
        <x:v>46292</x:v>
      </x:c>
      <x:c r="J65" s="21" t="n">
        <x:f>IF(ISNUMBER(H65),'Visão'!$B$6+H65,"")</x:f>
        <x:v>46306</x:v>
      </x:c>
      <x:c r="K65" s="16" t="str">
        <x:v>EVT-023</x:v>
      </x:c>
      <x:c r="L65" s="16" t="str">
        <x:v>EVT-018</x:v>
      </x:c>
      <x:c r="M65" s="16"/>
      <x:c r="N65" s="16" t="str">
        <x:v>Não iniciado</x:v>
      </x:c>
      <x:c r="O65" s="15" t="str">
        <x:f>IF(N65="Não se aplica","Não se aplica",IF(N65="Concluído",IF(Q65="","Falta evidência",IF(R65&gt;0,"Revisar dependências","Concluído")),IF(N65="Bloqueado","Bloqueado",IF(J65="","Sem prazo",IF(J65&lt;'Visão'!$B$7,"Atrasado",IF(J65='Visão'!$B$7,"Hoje",IF(R65&gt;0,"Dependência pendente",IF(F65="","Sem responsável","No prazo"))))))))</x:f>
        <x:v>Dependência pendente</x:v>
      </x:c>
      <x:c r="P65" s="15" t="str">
        <x:v>Opcional e sem verba. Check-in por lista continua disponível.</x:v>
      </x:c>
      <x:c r="Q65" s="16"/>
      <x:c r="R65" s="15" t="n">
        <x:f>IF(K65="",0,IF(COUNTIFS($A$6:$A$65,K65,$N$6:$N$65,"Concluído")+COUNTIFS($A$6:$A$65,K65,$N$6:$N$65,"Não se aplica")&gt;0,0,1))+IF(L65="",0,IF(COUNTIFS($A$6:$A$65,L65,$N$6:$N$65,"Concluído")+COUNTIFS($A$6:$A$65,L65,$N$6:$N$65,"Não se aplica")&gt;0,0,1))+IF(M65="",0,IF(COUNTIFS($A$6:$A$65,M65,$N$6:$N$65,"Concluído")+COUNTIFS($A$6:$A$65,M65,$N$6:$N$65,"Não se aplica")&gt;0,0,1))</x:f>
        <x:v>2</x:v>
      </x:c>
    </x:row>
  </x:sheetData>
  <x:conditionalFormatting sqref="O6:O65">
    <x:cfRule type="containsText" dxfId="0" priority="1" operator="containsText" text="Atrasado"/>
    <x:cfRule type="containsText" dxfId="1" priority="2" operator="containsText" text="Bloqueado"/>
    <x:cfRule type="containsText" dxfId="2" priority="3" operator="containsText" text="Dependência pendente"/>
    <x:cfRule type="containsText" dxfId="3" priority="4" operator="containsText" text="Hoje"/>
    <x:cfRule type="containsText" dxfId="4" priority="5" operator="containsText" text="Sem responsável"/>
    <x:cfRule type="containsText" dxfId="5" priority="6" operator="containsText" text="Falta evidência"/>
  </x:conditionalFormatting>
  <x:dataValidations count="2">
    <x:dataValidation type="list" sqref="N6:N65">
      <x:formula1>"Não iniciado,Em andamento,Concluído,Bloqueado,Não se aplica"</x:formula1>
    </x:dataValidation>
    <x:dataValidation type="list" sqref="B6:B6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3f77e01f50444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29" hidden="0" customWidth="1"/>
    <x:col min="8" max="8" width="69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Orçamento do encontro (BRL)</x:v>
      </x:c>
      <x:c r="B2" s="2"/>
      <x:c r="C2" s="2"/>
      <x:c r="D2" s="2"/>
      <x:c r="E2" s="2"/>
      <x:c r="F2" s="2"/>
      <x:c r="G2" s="2"/>
      <x:c r="H2" s="2"/>
    </x:row>
    <x:row r="3" ht="24" customHeight="1">
      <x:c r="A3" s="4"/>
      <x:c r="B3" s="4"/>
      <x:c r="C3" s="4"/>
      <x:c r="D3" s="4"/>
      <x:c r="E3" s="4"/>
      <x:c r="F3" s="4"/>
      <x:c r="G3" s="4"/>
      <x:c r="H3" s="4"/>
    </x:row>
    <x:row r="4" ht="24" customHeight="1">
      <x:c r="A4" s="2" t="str">
        <x:v>Limites são propostas. Cotação e gasto em branco significam não informado. Não registrar preço zero sem confirmação.</x:v>
      </x:c>
      <x:c r="B4" s="2"/>
      <x:c r="C4" s="2"/>
      <x:c r="D4" s="2"/>
      <x:c r="E4" s="2"/>
      <x:c r="F4" s="2"/>
      <x:c r="G4" s="2"/>
      <x:c r="H4" s="2"/>
    </x:row>
    <x:row r="5" ht="32" customHeight="1">
      <x:c r="A5" s="8" t="str">
        <x:v>Categoria</x:v>
      </x:c>
      <x:c r="B5" s="8" t="str">
        <x:v>Limite proposto</x:v>
      </x:c>
      <x:c r="C5" s="8" t="str">
        <x:v>Cotação / previsão</x:v>
      </x:c>
      <x:c r="D5" s="8" t="str">
        <x:v>Aprovação do gasto</x:v>
      </x:c>
      <x:c r="E5" s="8" t="str">
        <x:v>Gasto real</x:v>
      </x:c>
      <x:c r="F5" s="8" t="str">
        <x:v>Limite − cotação</x:v>
      </x:c>
      <x:c r="G5" s="8" t="str">
        <x:v>Situação</x:v>
      </x:c>
      <x:c r="H5" s="8" t="str">
        <x:v>Fonte / comprovante e observação</x:v>
      </x:c>
    </x:row>
    <x:row r="6" ht="44" customHeight="1">
      <x:c r="A6" s="2" t="str">
        <x:v>Almoço</x:v>
      </x:c>
      <x:c r="B6" s="13" t="n">
        <x:v>300</x:v>
      </x:c>
      <x:c r="C6" s="13"/>
      <x:c r="D6" s="10" t="str">
        <x:v>Pendente</x:v>
      </x:c>
      <x:c r="E6" s="13"/>
      <x:c r="F6" s="22" t="str">
        <x:f>IF(AND(ISNUMBER(B6),ISNUMBER(C6)),B6-C6,"")</x:f>
      </x:c>
      <x:c r="G6" s="2" t="str">
        <x:f>IF(NOT(ISNUMBER(C6)),"Sem cotação",IF(NOT(ISNUMBER(B6)),"Sem limite aprovado",IF(C6&gt;B6,"Revisar custo",IF(D6="Sem cobrança","Sem cobrança",IF(D6="Pendente","Aprovação pendente","Conferir comprovante")))))</x:f>
        <x:v>Sem cotação</x:v>
      </x:c>
      <x:c r="H6" s="16" t="str">
        <x:v>Ingredientes, preparo, transporte e itens cedidos a verificar.</x:v>
      </x:c>
    </x:row>
    <x:row r="7" ht="44" customHeight="1">
      <x:c r="A7" s="2" t="str">
        <x:v>Lanche</x:v>
      </x:c>
      <x:c r="B7" s="13" t="n">
        <x:v>80</x:v>
      </x:c>
      <x:c r="C7" s="13"/>
      <x:c r="D7" s="10" t="str">
        <x:v>Pendente</x:v>
      </x:c>
      <x:c r="E7" s="13"/>
      <x:c r="F7" s="22" t="str">
        <x:f>IF(AND(ISNUMBER(B7),ISNUMBER(C7)),B7-C7,"")</x:f>
      </x:c>
      <x:c r="G7" s="2" t="str">
        <x:f>IF(NOT(ISNUMBER(C7)),"Sem cotação",IF(NOT(ISNUMBER(B7)),"Sem limite aprovado",IF(C7&gt;B7,"Revisar custo",IF(D7="Sem cobrança","Sem cobrança",IF(D7="Pendente","Aprovação pendente","Conferir comprovante")))))</x:f>
        <x:v>Sem cotação</x:v>
      </x:c>
      <x:c r="H7" s="16" t="str">
        <x:v>Dimensionar por total confirmado, incluindo equipe.</x:v>
      </x:c>
    </x:row>
    <x:row r="8" ht="44" customHeight="1">
      <x:c r="A8" s="2" t="str">
        <x:v>Bebidas</x:v>
      </x:c>
      <x:c r="B8" s="13" t="n">
        <x:v>50</x:v>
      </x:c>
      <x:c r="C8" s="13"/>
      <x:c r="D8" s="10" t="str">
        <x:v>Pendente</x:v>
      </x:c>
      <x:c r="E8" s="13"/>
      <x:c r="F8" s="22" t="str">
        <x:f>IF(AND(ISNUMBER(B8),ISNUMBER(C8)),B8-C8,"")</x:f>
      </x:c>
      <x:c r="G8" s="2" t="str">
        <x:f>IF(NOT(ISNUMBER(C8)),"Sem cotação",IF(NOT(ISNUMBER(B8)),"Sem limite aprovado",IF(C8&gt;B8,"Revisar custo",IF(D8="Sem cobrança","Sem cobrança",IF(D8="Pendente","Aprovação pendente","Conferir comprovante")))))</x:f>
        <x:v>Sem cotação</x:v>
      </x:c>
      <x:c r="H8" s="16" t="str">
        <x:v>Água, café/suco. Sem bebida alcoólica, conforme anexo.</x:v>
      </x:c>
    </x:row>
    <x:row r="9" ht="44" customHeight="1">
      <x:c r="A9" s="2" t="str">
        <x:v>Consumíveis</x:v>
      </x:c>
      <x:c r="B9" s="13" t="n">
        <x:v>20</x:v>
      </x:c>
      <x:c r="C9" s="13"/>
      <x:c r="D9" s="10" t="str">
        <x:v>Pendente</x:v>
      </x:c>
      <x:c r="E9" s="13"/>
      <x:c r="F9" s="22" t="str">
        <x:f>IF(AND(ISNUMBER(B9),ISNUMBER(C9)),B9-C9,"")</x:f>
      </x:c>
      <x:c r="G9" s="2" t="str">
        <x:f>IF(NOT(ISNUMBER(C9)),"Sem cotação",IF(NOT(ISNUMBER(B9)),"Sem limite aprovado",IF(C9&gt;B9,"Revisar custo",IF(D9="Sem cobrança","Sem cobrança",IF(D9="Pendente","Aprovação pendente","Conferir comprovante")))))</x:f>
        <x:v>Sem cotação</x:v>
      </x:c>
      <x:c r="H9" s="16" t="str">
        <x:v>Guardanapos, limpeza e eventual necessidade de descartáveis.</x:v>
      </x:c>
    </x:row>
    <x:row r="10" ht="44" customHeight="1">
      <x:c r="A10" s="2" t="str">
        <x:v>Reserva</x:v>
      </x:c>
      <x:c r="B10" s="22" t="n">
        <x:f>'Visão'!B15*'Visão'!B16</x:f>
        <x:v>50</x:v>
      </x:c>
      <x:c r="C10" s="22"/>
      <x:c r="D10" s="2" t="str">
        <x:v>Pendente</x:v>
      </x:c>
      <x:c r="E10" s="22"/>
      <x:c r="F10" s="22"/>
      <x:c r="G10" s="2" t="str">
        <x:v>Reserva proposta</x:v>
      </x:c>
      <x:c r="H10" s="16" t="str">
        <x:v>10% propostos. Uso depende de decisão conjunta. Registrar gasto na categoria real.</x:v>
      </x:c>
    </x:row>
    <x:row r="11" ht="44" customHeight="1">
      <x:c r="A11" s="2" t="str">
        <x:v>Infraestrutura extra</x:v>
      </x:c>
      <x:c r="B11" s="13"/>
      <x:c r="C11" s="13"/>
      <x:c r="D11" s="10" t="str">
        <x:v>Pendente</x:v>
      </x:c>
      <x:c r="E11" s="13"/>
      <x:c r="F11" s="22" t="str">
        <x:f>IF(AND(ISNUMBER(B11),ISNUMBER(C11)),B11-C11,"")</x:f>
      </x:c>
      <x:c r="G11" s="2" t="str">
        <x:f>IF(NOT(ISNUMBER(C11)),"Sem cotação",IF(NOT(ISNUMBER(B11)),"Sem limite aprovado",IF(C11&gt;B11,"Revisar custo",IF(D11="Sem cobrança","Sem cobrança",IF(D11="Pendente","Aprovação pendente","Conferir comprovante")))))</x:f>
        <x:v>Sem cotação</x:v>
      </x:c>
      <x:c r="H11" s="16" t="str">
        <x:v>Sem verba específica. Usar itens emprestados após confirmação.</x:v>
      </x:c>
    </x:row>
    <x:row r="12" ht="44" customHeight="1">
      <x:c r="A12" s="2" t="str">
        <x:v>Banner (P2)</x:v>
      </x:c>
      <x:c r="B12" s="13"/>
      <x:c r="C12" s="13"/>
      <x:c r="D12" s="10" t="str">
        <x:v>Pendente</x:v>
      </x:c>
      <x:c r="E12" s="13"/>
      <x:c r="F12" s="22" t="str">
        <x:f>IF(AND(ISNUMBER(B12),ISNUMBER(C12)),B12-C12,"")</x:f>
      </x:c>
      <x:c r="G12" s="2" t="str">
        <x:f>IF(NOT(ISNUMBER(C12)),"Sem cotação",IF(NOT(ISNUMBER(B12)),"Sem limite aprovado",IF(C12&gt;B12,"Revisar custo",IF(D12="Sem cobrança","Sem cobrança",IF(D12="Pendente","Aprovação pendente","Conferir comprovante")))))</x:f>
        <x:v>Sem cotação</x:v>
      </x:c>
      <x:c r="H12" s="16" t="str">
        <x:v>Sem verba aprovada.</x:v>
      </x:c>
    </x:row>
    <x:row r="13" ht="44" customHeight="1">
      <x:c r="A13" s="2" t="str">
        <x:v>Brindes (P2)</x:v>
      </x:c>
      <x:c r="B13" s="13"/>
      <x:c r="C13" s="13"/>
      <x:c r="D13" s="10" t="str">
        <x:v>Pendente</x:v>
      </x:c>
      <x:c r="E13" s="13"/>
      <x:c r="F13" s="22" t="str">
        <x:f>IF(AND(ISNUMBER(B13),ISNUMBER(C13)),B13-C13,"")</x:f>
      </x:c>
      <x:c r="G13" s="2" t="str">
        <x:f>IF(NOT(ISNUMBER(C13)),"Sem cotação",IF(NOT(ISNUMBER(B13)),"Sem limite aprovado",IF(C13&gt;B13,"Revisar custo",IF(D13="Sem cobrança","Sem cobrança",IF(D13="Pendente","Aprovação pendente","Conferir comprovante")))))</x:f>
        <x:v>Sem cotação</x:v>
      </x:c>
      <x:c r="H13" s="16" t="str">
        <x:v>Sem verba aprovada.</x:v>
      </x:c>
    </x:row>
    <x:row r="14" ht="44" customHeight="1">
      <x:c r="A14" s="2" t="str">
        <x:v>Live (P2)</x:v>
      </x:c>
      <x:c r="B14" s="13"/>
      <x:c r="C14" s="13"/>
      <x:c r="D14" s="10" t="str">
        <x:v>Pendente</x:v>
      </x:c>
      <x:c r="E14" s="13"/>
      <x:c r="F14" s="22" t="str">
        <x:f>IF(AND(ISNUMBER(B14),ISNUMBER(C14)),B14-C14,"")</x:f>
      </x:c>
      <x:c r="G14" s="2" t="str">
        <x:f>IF(NOT(ISNUMBER(C14)),"Sem cotação",IF(NOT(ISNUMBER(B14)),"Sem limite aprovado",IF(C14&gt;B14,"Revisar custo",IF(D14="Sem cobrança","Sem cobrança",IF(D14="Pendente","Aprovação pendente","Conferir comprovante")))))</x:f>
        <x:v>Sem cotação</x:v>
      </x:c>
      <x:c r="H14" s="16" t="str">
        <x:v>Sem verba e fora da operação prevista.</x:v>
      </x:c>
    </x:row>
    <x:row r="15" ht="44" customHeight="1">
      <x:c r="A15" s="2" t="str">
        <x:v>Mão de obra do preparo</x:v>
      </x:c>
      <x:c r="B15" s="13" t="n">
        <x:v>0</x:v>
      </x:c>
      <x:c r="C15" s="13" t="n">
        <x:v>0</x:v>
      </x:c>
      <x:c r="D15" s="10" t="str">
        <x:v>Sem cobrança</x:v>
      </x:c>
      <x:c r="E15" s="13"/>
      <x:c r="F15" s="22" t="n">
        <x:f>IF(AND(ISNUMBER(B15),ISNUMBER(C15)),B15-C15,"")</x:f>
        <x:v>0</x:v>
      </x:c>
      <x:c r="G15" s="2" t="str">
        <x:f>IF(NOT(ISNUMBER(C15)),"Sem cotação",IF(NOT(ISNUMBER(B15)),"Sem limite aprovado",IF(C15&gt;B15,"Revisar custo",IF(D15="Sem cobrança","Sem cobrança",IF(D15="Pendente","Aprovação pendente","Conferir comprovante")))))</x:f>
        <x:v>Sem cobrança</x:v>
      </x:c>
      <x:c r="H15" s="16" t="str">
        <x:v>Sem cobrança confirmada por Arthur. Outros custos ficam nas categorias acima.</x:v>
      </x:c>
    </x:row>
    <x:row r="16" ht="24" customHeight="1">
      <x:c r="A16" s="2"/>
      <x:c r="B16" s="2"/>
      <x:c r="C16" s="2"/>
      <x:c r="D16" s="2"/>
      <x:c r="E16" s="2"/>
      <x:c r="F16" s="2"/>
      <x:c r="G16" s="2"/>
      <x:c r="H16" s="2"/>
    </x:row>
    <x:row r="17" ht="24" customHeight="1">
      <x:c r="A17" s="2" t="str">
        <x:v>Teto confirmado</x:v>
      </x:c>
      <x:c r="B17" s="22" t="n">
        <x:f>'Visão'!B15</x:f>
        <x:v>500</x:v>
      </x:c>
      <x:c r="C17" s="2"/>
      <x:c r="D17" s="2" t="str">
        <x:v>Essenciais ainda sem cotação</x:v>
      </x:c>
      <x:c r="E17" s="2" t="n">
        <x:f>COUNTBLANK(C6:C9)</x:f>
        <x:v>4</x:v>
      </x:c>
      <x:c r="F17" s="2"/>
      <x:c r="G17" s="2"/>
      <x:c r="H17" s="2"/>
    </x:row>
    <x:row r="18" ht="24" customHeight="1">
      <x:c r="A18" s="2" t="str">
        <x:v>Soma dos limites propostos</x:v>
      </x:c>
      <x:c r="B18" s="22" t="n">
        <x:f>SUM(B6:B15)</x:f>
        <x:v>500</x:v>
      </x:c>
      <x:c r="C18" s="2"/>
      <x:c r="D18" s="2" t="str">
        <x:v>Gastos registrados (parcial)</x:v>
      </x:c>
      <x:c r="E18" s="22" t="str">
        <x:f>IF(COUNT(E6:E9,E11:E15)=0,"",SUM(E6:E9,E11:E15))</x:f>
      </x:c>
      <x:c r="F18" s="2"/>
      <x:c r="G18" s="2"/>
      <x:c r="H18" s="2"/>
    </x:row>
    <x:row r="19" ht="24" customHeight="1">
      <x:c r="A19" s="2" t="str">
        <x:v>Teto menos limites</x:v>
      </x:c>
      <x:c r="B19" s="22" t="n">
        <x:f>B17-B18</x:f>
        <x:v>0</x:v>
      </x:c>
      <x:c r="C19" s="2"/>
      <x:c r="D19" s="2" t="str">
        <x:v>Caixa recebido</x:v>
      </x:c>
      <x:c r="E19" s="22" t="str">
        <x:f>IF(COUNT(C27:C28)=0,"",SUM(C27:C28))</x:f>
      </x:c>
      <x:c r="F19" s="2"/>
      <x:c r="G19" s="2"/>
      <x:c r="H19" s="2"/>
    </x:row>
    <x:row r="20" ht="24" customHeight="1">
      <x:c r="A20" s="2" t="str">
        <x:v>Cotações registradas (parcial)</x:v>
      </x:c>
      <x:c r="B20" s="22" t="n">
        <x:f>IF(COUNT(C6:C9,C11:C15)=0,"",SUM(C6:C9,C11:C15))</x:f>
        <x:v>0</x:v>
      </x:c>
      <x:c r="C20" s="2"/>
      <x:c r="D20" s="2" t="str">
        <x:v>Caixa − gastos registrados</x:v>
      </x:c>
      <x:c r="E20" s="22" t="str">
        <x:f>IF(OR(E19="",E18=""),"",E19-E18)</x:f>
      </x:c>
      <x:c r="F20" s="2"/>
      <x:c r="G20" s="2"/>
      <x:c r="H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</x:row>
    <x:row r="22" ht="24" customHeight="1">
      <x:c r="A22" s="2"/>
      <x:c r="B22" s="2"/>
      <x:c r="C22" s="2"/>
      <x:c r="D22" s="2" t="str">
        <x:v>Valor restante parcial. Só fechar o saldo depois de lançar todos os gastos.</x:v>
      </x:c>
      <x:c r="E22" s="2"/>
      <x:c r="F22" s="2"/>
      <x:c r="G22" s="2"/>
      <x:c r="H22" s="2"/>
    </x:row>
    <x:row r="23" ht="24" customHeight="1">
      <x:c r="A23" s="2" t="str">
        <x:v>Limites e cotação não autorizam compra. Aprovação e caixa precisam ser confirmados antes de cada gasto.</x:v>
      </x:c>
      <x:c r="B23" s="2"/>
      <x:c r="C23" s="2"/>
      <x:c r="D23" s="2"/>
      <x:c r="E23" s="2"/>
      <x:c r="F23" s="2"/>
      <x:c r="G23" s="2"/>
      <x:c r="H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</x:row>
    <x:row r="26" ht="32" customHeight="1">
      <x:c r="A26" s="8" t="str">
        <x:v>Aporte</x:v>
      </x:c>
      <x:c r="B26" s="8" t="str">
        <x:v>Declarado</x:v>
      </x:c>
      <x:c r="C26" s="8" t="str">
        <x:v>Recebido</x:v>
      </x:c>
      <x:c r="D26" s="8" t="str">
        <x:v>Data de recebimento</x:v>
      </x:c>
      <x:c r="E26" s="2"/>
      <x:c r="F26" s="2"/>
      <x:c r="G26" s="2"/>
      <x:c r="H26" s="2"/>
    </x:row>
    <x:row r="27" ht="24" customHeight="1">
      <x:c r="A27" s="2" t="str">
        <x:v>Arthur</x:v>
      </x:c>
      <x:c r="B27" s="22" t="n">
        <x:f>'Visão'!B17</x:f>
        <x:v>250</x:v>
      </x:c>
      <x:c r="C27" s="13"/>
      <x:c r="D27" s="11"/>
      <x:c r="E27" s="2"/>
      <x:c r="F27" s="2"/>
      <x:c r="G27" s="2"/>
      <x:c r="H27" s="2"/>
    </x:row>
    <x:row r="28" ht="24" customHeight="1">
      <x:c r="A28" s="2" t="str">
        <x:v>Henrique</x:v>
      </x:c>
      <x:c r="B28" s="22" t="n">
        <x:f>'Visão'!B18</x:f>
        <x:v>250</x:v>
      </x:c>
      <x:c r="C28" s="13"/>
      <x:c r="D28" s="11"/>
      <x:c r="E28" s="2"/>
      <x:c r="F28" s="2"/>
      <x:c r="G28" s="2"/>
      <x:c r="H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</x:row>
    <x:row r="31" ht="24" customHeight="1">
      <x:c r="A31" s="2" t="str">
        <x:v>Comparação de capacidade financeira</x:v>
      </x:c>
      <x:c r="B31" s="2"/>
      <x:c r="C31" s="2"/>
      <x:c r="D31" s="2"/>
      <x:c r="E31" s="2"/>
      <x:c r="F31" s="2"/>
      <x:c r="G31" s="2"/>
      <x:c r="H31" s="2"/>
    </x:row>
    <x:row r="32" ht="24" customHeight="1">
      <x:c r="A32" s="2" t="str">
        <x:v>Todos os cenários incluem organizadores, palestrantes e qualquer apoio presente. Base de planejamento: 20 pessoas.</x:v>
      </x:c>
      <x:c r="B32" s="2"/>
      <x:c r="C32" s="2"/>
      <x:c r="D32" s="2"/>
      <x:c r="E32" s="2"/>
      <x:c r="F32" s="2"/>
      <x:c r="G32" s="2"/>
      <x:c r="H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</x:row>
    <x:row r="34" ht="32" customHeight="1">
      <x:c r="A34" s="8" t="str">
        <x:v>Pessoas totais</x:v>
      </x:c>
      <x:c r="B34" s="8" t="str">
        <x:v>Teto por pessoa</x:v>
      </x:c>
      <x:c r="C34" s="8" t="str">
        <x:v>Reserva</x:v>
      </x:c>
      <x:c r="D34" s="8" t="str">
        <x:v>Disponível sem reserva</x:v>
      </x:c>
      <x:c r="E34" s="8" t="str">
        <x:v>Máximo por pessoa sem reserva</x:v>
      </x:c>
      <x:c r="F34" s="8" t="str">
        <x:v>Cadeiras faltantes</x:v>
      </x:c>
      <x:c r="G34" s="2"/>
      <x:c r="H34" s="2"/>
    </x:row>
    <x:row r="35" ht="24" customHeight="1">
      <x:c r="A35" s="2" t="n">
        <x:v>16</x:v>
      </x:c>
      <x:c r="B35" s="22" t="n">
        <x:f>'Visão'!$B$15/A35</x:f>
        <x:v>31.25</x:v>
      </x:c>
      <x:c r="C35" s="22" t="n">
        <x:f>$B$10</x:f>
        <x:v>50</x:v>
      </x:c>
      <x:c r="D35" s="22" t="n">
        <x:f>'Visão'!$B$15-C35</x:f>
        <x:v>450</x:v>
      </x:c>
      <x:c r="E35" s="22" t="n">
        <x:f>D35/A35</x:f>
        <x:v>28.125</x:v>
      </x:c>
      <x:c r="F35" s="2" t="n">
        <x:f>MAX(0,A35-'Visão'!$B$14)</x:f>
        <x:v>0</x:v>
      </x:c>
      <x:c r="G35" s="2"/>
      <x:c r="H35" s="2"/>
    </x:row>
    <x:row r="36" ht="24" customHeight="1">
      <x:c r="A36" s="2" t="n">
        <x:v>18</x:v>
      </x:c>
      <x:c r="B36" s="22" t="n">
        <x:f>'Visão'!$B$15/A36</x:f>
        <x:v>27.77777777777778</x:v>
      </x:c>
      <x:c r="C36" s="22" t="n">
        <x:f>$B$10</x:f>
        <x:v>50</x:v>
      </x:c>
      <x:c r="D36" s="22" t="n">
        <x:f>'Visão'!$B$15-C36</x:f>
        <x:v>450</x:v>
      </x:c>
      <x:c r="E36" s="22" t="n">
        <x:f>D36/A36</x:f>
        <x:v>25</x:v>
      </x:c>
      <x:c r="F36" s="2" t="n">
        <x:f>MAX(0,A36-'Visão'!$B$14)</x:f>
        <x:v>0</x:v>
      </x:c>
      <x:c r="G36" s="2"/>
      <x:c r="H36" s="2"/>
    </x:row>
    <x:row r="37" ht="24" customHeight="1">
      <x:c r="A37" s="23" t="n">
        <x:v>20</x:v>
      </x:c>
      <x:c r="B37" s="24" t="n">
        <x:f>'Visão'!$B$15/A37</x:f>
        <x:v>25</x:v>
      </x:c>
      <x:c r="C37" s="24" t="n">
        <x:f>$B$10</x:f>
        <x:v>50</x:v>
      </x:c>
      <x:c r="D37" s="24" t="n">
        <x:f>'Visão'!$B$15-C37</x:f>
        <x:v>450</x:v>
      </x:c>
      <x:c r="E37" s="24" t="n">
        <x:f>D37/A37</x:f>
        <x:v>22.5</x:v>
      </x:c>
      <x:c r="F37" s="23" t="n">
        <x:f>MAX(0,A37-'Visão'!$B$14)</x:f>
        <x:v>0</x:v>
      </x:c>
      <x:c r="G37" s="2"/>
      <x:c r="H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</x:row>
    <x:row r="39" ht="24" customHeight="1">
      <x:c r="A39" s="2" t="str">
        <x:v>Máximo por pessoa é capacidade de gasto para TODAS as despesas previstas, não preço estimado de refeição.</x:v>
      </x:c>
      <x:c r="B39" s="2"/>
      <x:c r="C39" s="2"/>
      <x:c r="D39" s="2"/>
      <x:c r="E39" s="2"/>
      <x:c r="F39" s="2"/>
      <x:c r="G39" s="2"/>
      <x:c r="H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</x:row>
    <x:row r="41" ht="24" customHeight="1">
      <x:c r="A41" s="2" t="str">
        <x:v>Plano ativo: pessoas</x:v>
      </x:c>
      <x:c r="B41" s="2" t="n">
        <x:f>'Visão'!B13</x:f>
        <x:v>20</x:v>
      </x:c>
      <x:c r="C41" s="2"/>
      <x:c r="D41" s="2"/>
      <x:c r="E41" s="2"/>
      <x:c r="F41" s="2"/>
      <x:c r="G41" s="2"/>
      <x:c r="H41" s="2"/>
    </x:row>
    <x:row r="42" ht="24" customHeight="1">
      <x:c r="A42" s="2" t="str">
        <x:v>Disponível por pessoa</x:v>
      </x:c>
      <x:c r="B42" s="22" t="n">
        <x:f>IF('Visão'!B13&gt;0,('Visão'!B15-B10)/'Visão'!B13,"")</x:f>
        <x:v>22.5</x:v>
      </x:c>
      <x:c r="C42" s="2"/>
      <x:c r="D42" s="2"/>
      <x:c r="E42" s="2"/>
      <x:c r="F42" s="2"/>
      <x:c r="G42" s="2"/>
      <x:c r="H42" s="2"/>
    </x:row>
    <x:row r="43" ht="24" customHeight="1">
      <x:c r="A43" s="2" t="str">
        <x:v>Capacidade do plano</x:v>
      </x:c>
      <x:c r="B43" s="2" t="str">
        <x:f>IF(OR('Visão'!B13&lt;'Visão'!B11,'Visão'!B13&gt;'Visão'!B12),"Fora do escopo",IF('Visão'!B13&gt;'Visão'!B14,"Faltam cadeiras","Dentro do limite"))</x:f>
        <x:v>Dentro do limite</x:v>
      </x:c>
      <x:c r="C43" s="2"/>
      <x:c r="D43" s="2"/>
      <x:c r="E43" s="2"/>
      <x:c r="F43" s="2"/>
      <x:c r="G43" s="2"/>
      <x:c r="H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</x:row>
    <x:row r="45" ht="24" customHeight="1">
      <x:c r="A45" s="2" t="str">
        <x:v>Fonte: DEC-007 para teto, aportes, cadeiras e mão de obra. Limites por categoria são proposta do plano mestre.</x:v>
      </x:c>
      <x:c r="B45" s="2"/>
      <x:c r="C45" s="2"/>
      <x:c r="D45" s="2"/>
      <x:c r="E45" s="2"/>
      <x:c r="F45" s="2"/>
      <x:c r="G45" s="2"/>
      <x:c r="H45" s="2"/>
    </x:row>
    <x:row r="46" ht="24" customHeight="1">
      <x:c r="A46" s="2" t="str">
        <x:v>Não utilizar esta planilha como cadastro nominal. Evidências podem identificar a compra, sem expor dados de participantes.</x:v>
      </x:c>
      <x:c r="B46" s="2"/>
      <x:c r="C46" s="2"/>
      <x:c r="D46" s="2"/>
      <x:c r="E46" s="2"/>
      <x:c r="F46" s="2"/>
      <x:c r="G46" s="2"/>
      <x:c r="H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</x:row>
  </x:sheetData>
  <x:conditionalFormatting sqref="F6:F6">
    <x:cfRule type="cellIs" dxfId="6" priority="1" operator="lessThan">
      <x:formula>0</x:formula>
    </x:cfRule>
  </x:conditionalFormatting>
  <x:conditionalFormatting sqref="F7:F7">
    <x:cfRule type="cellIs" dxfId="7" priority="2" operator="lessThan">
      <x:formula>0</x:formula>
    </x:cfRule>
  </x:conditionalFormatting>
  <x:conditionalFormatting sqref="F8:F8">
    <x:cfRule type="cellIs" dxfId="8" priority="3" operator="lessThan">
      <x:formula>0</x:formula>
    </x:cfRule>
  </x:conditionalFormatting>
  <x:conditionalFormatting sqref="F9:F9">
    <x:cfRule type="cellIs" dxfId="9" priority="4" operator="lessThan">
      <x:formula>0</x:formula>
    </x:cfRule>
  </x:conditionalFormatting>
  <x:conditionalFormatting sqref="F11:F11">
    <x:cfRule type="cellIs" dxfId="10" priority="5" operator="lessThan">
      <x:formula>0</x:formula>
    </x:cfRule>
  </x:conditionalFormatting>
  <x:conditionalFormatting sqref="F12:F12">
    <x:cfRule type="cellIs" dxfId="11" priority="6" operator="lessThan">
      <x:formula>0</x:formula>
    </x:cfRule>
  </x:conditionalFormatting>
  <x:conditionalFormatting sqref="F13:F13">
    <x:cfRule type="cellIs" dxfId="12" priority="7" operator="lessThan">
      <x:formula>0</x:formula>
    </x:cfRule>
  </x:conditionalFormatting>
  <x:conditionalFormatting sqref="F14:F14">
    <x:cfRule type="cellIs" dxfId="13" priority="8" operator="lessThan">
      <x:formula>0</x:formula>
    </x:cfRule>
  </x:conditionalFormatting>
  <x:conditionalFormatting sqref="F15:F15">
    <x:cfRule type="cellIs" dxfId="14" priority="9" operator="lessThan">
      <x:formula>0</x:formula>
    </x:cfRule>
  </x:conditionalFormatting>
  <x:conditionalFormatting sqref="B19:B19">
    <x:cfRule type="cellIs" dxfId="15" priority="10" operator="lessThan">
      <x:formula>0</x:formula>
    </x:cfRule>
  </x:conditionalFormatting>
  <x:dataValidations count="1">
    <x:dataValidation type="list" sqref="D6:D15">
      <x:formula1>"Pendente,Aprovado,Revisar,Sem cobrança,Não se aplica"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4" hidden="0" customWidth="1"/>
    <x:col min="4" max="4" width="47" hidden="0" customWidth="1"/>
    <x:col min="5" max="5" width="34" hidden="0" customWidth="1"/>
    <x:col min="6" max="6" width="60" hidden="0" customWidth="1"/>
    <x:col min="7" max="7" width="24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Roteiro do dia — proposta</x:v>
      </x:c>
      <x:c r="B2" s="2"/>
      <x:c r="C2" s="2"/>
      <x:c r="D2" s="2"/>
      <x:c r="E2" s="2"/>
      <x:c r="F2" s="2"/>
      <x:c r="G2" s="2"/>
    </x:row>
    <x:row r="3" ht="24" customHeight="1">
      <x:c r="A3" s="4"/>
      <x:c r="B3" s="4"/>
      <x:c r="C3" s="4"/>
      <x:c r="D3" s="4"/>
      <x:c r="E3" s="4"/>
      <x:c r="F3" s="4"/>
      <x:c r="G3" s="4"/>
    </x:row>
    <x:row r="4" ht="24" customHeight="1">
      <x:c r="A4" s="2" t="str">
        <x:v>Horários individuais e papéis dependem de aceite. Início 10h30, almoço 12h30 e encerramento 17h confirmados.</x:v>
      </x:c>
      <x:c r="B4" s="2"/>
      <x:c r="C4" s="2"/>
      <x:c r="D4" s="2"/>
      <x:c r="E4" s="2"/>
      <x:c r="F4" s="2"/>
      <x:c r="G4" s="2"/>
    </x:row>
    <x:row r="5" ht="32" customHeight="1">
      <x:c r="A5" s="8" t="str">
        <x:v>Início</x:v>
      </x:c>
      <x:c r="B5" s="8" t="str">
        <x:v>Fim</x:v>
      </x:c>
      <x:c r="C5" s="8" t="str">
        <x:v>Minutos</x:v>
      </x:c>
      <x:c r="D5" s="8" t="str">
        <x:v>Bloco</x:v>
      </x:c>
      <x:c r="E5" s="8" t="str">
        <x:v>Responsável sugerido</x:v>
      </x:c>
      <x:c r="F5" s="8" t="str">
        <x:v>Operação e critério</x:v>
      </x:c>
      <x:c r="G5" s="8" t="str">
        <x:v>Responsável confirmado</x:v>
      </x:c>
    </x:row>
    <x:row r="6" ht="52" customHeight="1">
      <x:c r="A6" s="26" t="n">
        <x:f>'Visão'!B8</x:f>
        <x:v>0.4375</x:v>
      </x:c>
      <x:c r="B6" s="26" t="n">
        <x:f>A6+C6/1440</x:f>
        <x:v>0.4513888888888889</x:v>
      </x:c>
      <x:c r="C6" s="16" t="n">
        <x:v>20</x:v>
      </x:c>
      <x:c r="D6" s="15" t="str">
        <x:v>Recepção e check-in</x:v>
      </x:c>
      <x:c r="E6" s="15" t="str">
        <x:v>Recepção a definir</x:v>
      </x:c>
      <x:c r="F6" s="15" t="str">
        <x:v>Água, orientação sobre banheiro, alimentação e circulação.</x:v>
      </x:c>
      <x:c r="G6" s="16"/>
    </x:row>
    <x:row r="7" ht="52" customHeight="1">
      <x:c r="A7" s="26" t="n">
        <x:f>B6</x:f>
        <x:v>0.4513888888888889</x:v>
      </x:c>
      <x:c r="B7" s="26" t="n">
        <x:f>A7+C7/1440</x:f>
        <x:v>0.4583333333333333</x:v>
      </x:c>
      <x:c r="C7" s="16" t="n">
        <x:v>10</x:v>
      </x:c>
      <x:c r="D7" s="15" t="str">
        <x:v>Abertura</x:v>
      </x:c>
      <x:c r="E7" s="15" t="str">
        <x:v>Arthur + Henrique</x:v>
      </x:c>
      <x:c r="F7" s="15" t="str">
        <x:v>Objetivo, programação, perguntas e apresentação dos anfitriões.</x:v>
      </x:c>
      <x:c r="G7" s="16"/>
    </x:row>
    <x:row r="8" ht="52" customHeight="1">
      <x:c r="A8" s="26" t="n">
        <x:f>B7</x:f>
        <x:v>0.4583333333333333</x:v>
      </x:c>
      <x:c r="B8" s="26" t="n">
        <x:f>A8+C8/1440</x:f>
        <x:v>0.4895833333333333</x:v>
      </x:c>
      <x:c r="C8" s="16" t="n">
        <x:v>45</x:v>
      </x:c>
      <x:c r="D8" s="15" t="str">
        <x:v>VIRUS — IA no dia a dia</x:v>
      </x:c>
      <x:c r="E8" s="15" t="str">
        <x:v>VIRUS + técnica a definir</x:v>
      </x:c>
      <x:c r="F8" s="15" t="str">
        <x:v>25 min conteúdo + 15 min perguntas + 5 min troca. Título formal a coletar.</x:v>
      </x:c>
      <x:c r="G8" s="16"/>
    </x:row>
    <x:row r="9" ht="52" customHeight="1">
      <x:c r="A9" s="26" t="n">
        <x:f>B8</x:f>
        <x:v>0.4895833333333333</x:v>
      </x:c>
      <x:c r="B9" s="26" t="n">
        <x:f>A9+C9/1440</x:f>
        <x:v>0.5104166666666666</x:v>
      </x:c>
      <x:c r="C9" s="16" t="n">
        <x:v>30</x:v>
      </x:c>
      <x:c r="D9" s="15" t="str">
        <x:v>Conversa e conexões</x:v>
      </x:c>
      <x:c r="E9" s="15" t="str">
        <x:v>Henrique + apoio a definir</x:v>
      </x:c>
      <x:c r="F9" s="15" t="str">
        <x:v>Aproximar pessoas que ainda não se conhecem. Bloco flexível.</x:v>
      </x:c>
      <x:c r="G9" s="16"/>
    </x:row>
    <x:row r="10" ht="52" customHeight="1">
      <x:c r="A10" s="26" t="n">
        <x:f>B9</x:f>
        <x:v>0.5104166666666666</x:v>
      </x:c>
      <x:c r="B10" s="26" t="n">
        <x:f>A10+C10/1440</x:f>
        <x:v>0.5208333333333333</x:v>
      </x:c>
      <x:c r="C10" s="16" t="n">
        <x:v>15</x:v>
      </x:c>
      <x:c r="D10" s="15" t="str">
        <x:v>Margem e preparo do almoço</x:v>
      </x:c>
      <x:c r="E10" s="15" t="str">
        <x:v>Apoio de serviço a definir</x:v>
      </x:c>
      <x:c r="F10" s="15" t="str">
        <x:v>Absorver atraso curto sem adiar o almoço.</x:v>
      </x:c>
      <x:c r="G10" s="16"/>
    </x:row>
    <x:row r="11" ht="52" customHeight="1">
      <x:c r="A11" s="26" t="n">
        <x:f>B10</x:f>
        <x:v>0.5208333333333333</x:v>
      </x:c>
      <x:c r="B11" s="26" t="n">
        <x:f>A11+C11/1440</x:f>
        <x:v>0.5624999999999999</x:v>
      </x:c>
      <x:c r="C11" s="16" t="n">
        <x:v>60</x:v>
      </x:c>
      <x:c r="D11" s="15" t="str">
        <x:v>Almoço</x:v>
      </x:c>
      <x:c r="E11" s="15" t="str">
        <x:v>Preparo + apoio de serviço</x:v>
      </x:c>
      <x:c r="F11" s="15" t="str">
        <x:v>Início 12h30 confirmado. Duração de 60 min proposta.</x:v>
      </x:c>
      <x:c r="G11" s="16"/>
    </x:row>
    <x:row r="12" ht="52" customHeight="1">
      <x:c r="A12" s="26" t="n">
        <x:f>B11</x:f>
        <x:v>0.5624999999999999</x:v>
      </x:c>
      <x:c r="B12" s="26" t="n">
        <x:f>A12+C12/1440</x:f>
        <x:v>0.5937499999999999</x:v>
      </x:c>
      <x:c r="C12" s="16" t="n">
        <x:v>45</x:v>
      </x:c>
      <x:c r="D12" s="15" t="str">
        <x:v>Coatio — UI/UX e CARANGA</x:v>
      </x:c>
      <x:c r="E12" s="15" t="str">
        <x:v>Coatio + técnica a definir</x:v>
      </x:c>
      <x:c r="F12" s="15" t="str">
        <x:v>25 min incluindo demo + 15 min perguntas + 5 min troca. Plano offline pronto.</x:v>
      </x:c>
      <x:c r="G12" s="16"/>
    </x:row>
    <x:row r="13" ht="52" customHeight="1">
      <x:c r="A13" s="26" t="n">
        <x:f>B12</x:f>
        <x:v>0.5937499999999999</x:v>
      </x:c>
      <x:c r="B13" s="26" t="n">
        <x:f>A13+C13/1440</x:f>
        <x:v>0.6249999999999999</x:v>
      </x:c>
      <x:c r="C13" s="16" t="n">
        <x:v>45</x:v>
      </x:c>
      <x:c r="D13" s="15" t="str">
        <x:v>Mesa 360</x:v>
      </x:c>
      <x:c r="E13" s="15" t="str">
        <x:v>Moderador a definir</x:v>
      </x:c>
      <x:c r="F13" s="15" t="str">
        <x:v>5 min contexto + 20 min rodada + 15 min diálogo + 5 min síntese. Direito de passar.</x:v>
      </x:c>
      <x:c r="G13" s="16"/>
    </x:row>
    <x:row r="14" ht="52" customHeight="1">
      <x:c r="A14" s="26" t="n">
        <x:f>B13</x:f>
        <x:v>0.6249999999999999</x:v>
      </x:c>
      <x:c r="B14" s="26" t="n">
        <x:f>A14+C14/1440</x:f>
        <x:v>0.6458333333333333</x:v>
      </x:c>
      <x:c r="C14" s="16" t="n">
        <x:v>30</x:v>
      </x:c>
      <x:c r="D14" s="15" t="str">
        <x:v>Lanche</x:v>
      </x:c>
      <x:c r="E14" s="15" t="str">
        <x:v>Apoio de serviço a definir</x:v>
      </x:c>
      <x:c r="F14" s="15" t="str">
        <x:v>Reposição de bebidas e pausa.</x:v>
      </x:c>
      <x:c r="G14" s="16"/>
    </x:row>
    <x:row r="15" ht="52" customHeight="1">
      <x:c r="A15" s="26" t="n">
        <x:f>B14</x:f>
        <x:v>0.6458333333333333</x:v>
      </x:c>
      <x:c r="B15" s="26" t="n">
        <x:f>A15+C15/1440</x:f>
        <x:v>0.6770833333333333</x:v>
      </x:c>
      <x:c r="C15" s="16" t="n">
        <x:v>45</x:v>
      </x:c>
      <x:c r="D15" s="15" t="str">
        <x:v>Dinâmica e networking guiado</x:v>
      </x:c>
      <x:c r="E15" s="15" t="str">
        <x:v>Henrique + apoio a definir</x:v>
      </x:c>
      <x:c r="F15" s="15" t="str">
        <x:v>Atividade simples com materiais disponíveis. Bloco flexível.</x:v>
      </x:c>
      <x:c r="G15" s="16"/>
    </x:row>
    <x:row r="16" ht="52" customHeight="1">
      <x:c r="A16" s="26" t="n">
        <x:f>B15</x:f>
        <x:v>0.6770833333333333</x:v>
      </x:c>
      <x:c r="B16" s="26" t="n">
        <x:f>A16+C16/1440</x:f>
        <x:v>0.6909722222222221</x:v>
      </x:c>
      <x:c r="C16" s="16" t="n">
        <x:v>20</x:v>
      </x:c>
      <x:c r="D16" s="15" t="str">
        <x:v>Conversas e próximos passos</x:v>
      </x:c>
      <x:c r="E16" s="15" t="str">
        <x:v>Arthur + Henrique</x:v>
      </x:c>
      <x:c r="F16" s="15" t="str">
        <x:v>Espaço flexível para temas que surgirem.</x:v>
      </x:c>
      <x:c r="G16" s="16"/>
    </x:row>
    <x:row r="17" ht="52" customHeight="1">
      <x:c r="A17" s="26" t="n">
        <x:f>B16</x:f>
        <x:v>0.6909722222222221</x:v>
      </x:c>
      <x:c r="B17" s="26" t="n">
        <x:f>A17+C17/1440</x:f>
        <x:v>0.6979166666666665</x:v>
      </x:c>
      <x:c r="C17" s="16" t="n">
        <x:v>10</x:v>
      </x:c>
      <x:c r="D17" s="15" t="str">
        <x:v>Feedback</x:v>
      </x:c>
      <x:c r="E17" s="15" t="str">
        <x:v>Apoio a definir</x:v>
      </x:c>
      <x:c r="F17" s="15" t="str">
        <x:v>Poucas perguntas e participação voluntária.</x:v>
      </x:c>
      <x:c r="G17" s="16"/>
    </x:row>
    <x:row r="18" ht="52" customHeight="1">
      <x:c r="A18" s="26" t="n">
        <x:f>B17</x:f>
        <x:v>0.6979166666666665</x:v>
      </x:c>
      <x:c r="B18" s="26" t="n">
        <x:f>A18+C18/1440</x:f>
        <x:v>0.7013888888888887</x:v>
      </x:c>
      <x:c r="C18" s="16" t="n">
        <x:v>5</x:v>
      </x:c>
      <x:c r="D18" s="15" t="str">
        <x:v>Foto de grupo opcional</x:v>
      </x:c>
      <x:c r="E18" s="15" t="str">
        <x:v>Foto a definir</x:v>
      </x:c>
      <x:c r="F18" s="15" t="str">
        <x:v>Somente com quem concordar. Não acumular com anfitriões.</x:v>
      </x:c>
      <x:c r="G18" s="16"/>
    </x:row>
    <x:row r="19" ht="52" customHeight="1">
      <x:c r="A19" s="26" t="n">
        <x:f>B18</x:f>
        <x:v>0.7013888888888887</x:v>
      </x:c>
      <x:c r="B19" s="26" t="n">
        <x:f>A19+C19/1440</x:f>
        <x:v>0.7083333333333331</x:v>
      </x:c>
      <x:c r="C19" s="16" t="n">
        <x:v>10</x:v>
      </x:c>
      <x:c r="D19" s="15" t="str">
        <x:v>Encerramento</x:v>
      </x:c>
      <x:c r="E19" s="15" t="str">
        <x:v>Arthur + Henrique</x:v>
      </x:c>
      <x:c r="F19" s="15" t="str">
        <x:v>Agradecimento, próximos passos se definidos e saída até 17h.</x:v>
      </x:c>
      <x:c r="G19" s="16"/>
    </x:row>
    <x:row r="20" ht="24" customHeight="1">
      <x:c r="A20" s="2"/>
      <x:c r="B20" s="2"/>
      <x:c r="C20" s="2"/>
      <x:c r="D20" s="2"/>
      <x:c r="E20" s="2"/>
      <x:c r="F20" s="2"/>
      <x:c r="G20" s="2"/>
    </x:row>
    <x:row r="21" ht="24" customHeight="1">
      <x:c r="A21" s="2" t="str">
        <x:v>Minutos totais</x:v>
      </x:c>
      <x:c r="B21" s="2"/>
      <x:c r="C21" s="2" t="n">
        <x:f>SUM(C6:C19)</x:f>
        <x:v>390</x:v>
      </x:c>
      <x:c r="D21" s="2" t="str">
        <x:v>Desvio no almoço (min)</x:v>
      </x:c>
      <x:c r="E21" s="2"/>
      <x:c r="F21" s="2" t="n">
        <x:f>ROUND((A11-'Visão'!B10)*1440,0)</x:f>
        <x:v>0</x:v>
      </x:c>
      <x:c r="G21" s="2"/>
    </x:row>
    <x:row r="22" ht="24" customHeight="1">
      <x:c r="A22" s="2"/>
      <x:c r="B22" s="2"/>
      <x:c r="C22" s="2"/>
      <x:c r="D22" s="2" t="str">
        <x:v>Desvio no encerramento (min)</x:v>
      </x:c>
      <x:c r="E22" s="2"/>
      <x:c r="F22" s="2" t="n">
        <x:f>ROUND((B19-'Visão'!B9)*1440,0)</x:f>
        <x:v>0</x:v>
      </x:c>
      <x:c r="G22" s="2"/>
    </x:row>
    <x:row r="23" ht="24" customHeight="1">
      <x:c r="A23" s="2"/>
      <x:c r="B23" s="2"/>
      <x:c r="C23" s="2"/>
      <x:c r="D23" s="2"/>
      <x:c r="E23" s="2"/>
      <x:c r="F23" s="2"/>
      <x:c r="G23" s="2"/>
    </x:row>
    <x:row r="24" ht="39" customHeight="1">
      <x:c r="A24" s="2" t="str">
        <x:v>Preparação da equipe</x:v>
      </x:c>
      <x:c r="B24" s="2"/>
      <x:c r="C24" s="2"/>
      <x:c r="D24" s="2" t="str">
        <x:v>09h00–10h30 (proposta)</x:v>
      </x:c>
      <x:c r="E24" s="2"/>
      <x:c r="F24" s="15" t="str">
        <x:v>Cozinha, layout, apresentação e lista prontos antes da abertura.</x:v>
      </x:c>
      <x:c r="G24" s="2"/>
    </x:row>
    <x:row r="25" ht="39" customHeight="1">
      <x:c r="A25" s="2" t="str">
        <x:v>Desmontagem da equipe</x:v>
      </x:c>
      <x:c r="B25" s="2"/>
      <x:c r="C25" s="2"/>
      <x:c r="D25" s="2" t="str">
        <x:v>17h00–17h30 (proposta)</x:v>
      </x:c>
      <x:c r="E25" s="2"/>
      <x:c r="F25" s="15" t="str">
        <x:v>Após saída do público. Devolver itens e conferir a casa.</x:v>
      </x:c>
      <x:c r="G25" s="2"/>
    </x:row>
    <x:row r="26" ht="39" customHeight="1">
      <x:c r="A26" s="2"/>
      <x:c r="B26" s="2"/>
      <x:c r="C26" s="2"/>
      <x:c r="D26" s="2"/>
      <x:c r="E26" s="2"/>
      <x:c r="F26" s="15"/>
      <x:c r="G26" s="2"/>
    </x:row>
    <x:row r="27" ht="39" customHeight="1">
      <x:c r="A27" s="2" t="str">
        <x:v>Ajustes por atraso</x:v>
      </x:c>
      <x:c r="B27" s="2"/>
      <x:c r="C27" s="2"/>
      <x:c r="D27" s="2" t="str">
        <x:v>Reduzir blocos flexíveis</x:v>
      </x:c>
      <x:c r="E27" s="2"/>
      <x:c r="F27" s="15" t="str">
        <x:v>Preservar início do almoço e saída. Perguntas excedentes seguem no networking.</x:v>
      </x:c>
      <x:c r="G27" s="2"/>
    </x:row>
    <x:row r="28" ht="39" customHeight="1">
      <x:c r="A28" s="2"/>
      <x:c r="B28" s="2"/>
      <x:c r="C28" s="2"/>
      <x:c r="D28" s="2"/>
      <x:c r="E28" s="2"/>
      <x:c r="F28" s="15"/>
      <x:c r="G28" s="2"/>
    </x:row>
    <x:row r="29" ht="39" customHeight="1">
      <x:c r="A29" s="2" t="str">
        <x:v>Simultaneidade</x:v>
      </x:c>
      <x:c r="B29" s="2"/>
      <x:c r="C29" s="2"/>
      <x:c r="D29" s="2" t="str">
        <x:v>Recepção e cozinha às 10h30</x:v>
      </x:c>
      <x:c r="E29" s="2"/>
      <x:c r="F29" s="15" t="str">
        <x:v>Confirmar pessoas diferentes para recepção, técnica e serviço.</x:v>
      </x:c>
      <x:c r="G29" s="2"/>
    </x:row>
    <x:row r="30" ht="24" customHeight="1">
      <x:c r="A30" s="2"/>
      <x:c r="B30" s="2"/>
      <x:c r="C30" s="2"/>
      <x:c r="D30" s="2"/>
      <x:c r="E30" s="2"/>
      <x:c r="F30" s="2"/>
      <x:c r="G30" s="2"/>
    </x:row>
    <x:row r="31" ht="24" customHeight="1">
      <x:c r="A31" s="2"/>
      <x:c r="B31" s="2"/>
      <x:c r="C31" s="2"/>
      <x:c r="D31" s="2"/>
      <x:c r="E31" s="2"/>
      <x:c r="F31" s="2"/>
      <x:c r="G31" s="2"/>
    </x:row>
    <x:row r="32" ht="24" customHeight="1">
      <x:c r="A32" s="2"/>
      <x:c r="B32" s="2"/>
      <x:c r="C32" s="2"/>
      <x:c r="D32" s="2"/>
      <x:c r="E32" s="2"/>
      <x:c r="F32" s="2"/>
      <x:c r="G32" s="2"/>
    </x:row>
    <x:row r="33" ht="24" customHeight="1">
      <x:c r="A33" s="2"/>
      <x:c r="B33" s="2"/>
      <x:c r="C33" s="2"/>
      <x:c r="D33" s="2"/>
      <x:c r="E33" s="2"/>
      <x:c r="F33" s="2"/>
      <x:c r="G33" s="2"/>
    </x:row>
  </x:sheetData>
  <x:conditionalFormatting sqref="F21:F22">
    <x:cfRule type="cellIs" dxfId="16" priority="1" operator="notEqual">
      <x:formula>0</x:formula>
    </x:cfRule>
  </x:conditionalFormatting>
  <x:pageMargins left="0.7" right="0.7" top="0.75" bottom="0.75" header="0.3" footer="0.3"/>
</x:worksheet>
</file>