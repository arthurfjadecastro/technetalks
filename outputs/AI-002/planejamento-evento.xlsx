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Roteiro" sheetId="2" state="visible" r:id="rId2"/>
    <sheet name="Orçamento" sheetId="3" state="visible" r:id="rId3"/>
    <sheet name="Cardápio" sheetId="4" state="visible" r:id="rId4"/>
  </sheets>
  <definedNames>
    <definedName name="_xlnm._FilterDatabase" localSheetId="0" hidden="1">'Checklist'!$A$4:$G$36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&quot;R$&quot; #,##0.0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167" fontId="0" fillId="3" borderId="0" pivotButton="0" quotePrefix="0" xfId="0"/>
    <xf numFmtId="0" fontId="0" fillId="3" borderId="0" pivotButton="0" quotePrefix="0" xfId="0"/>
    <xf numFmtId="167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EAD3"/>
        </patternFill>
      </fill>
    </dxf>
    <dxf>
      <font>
        <color rgb="00999999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5" customWidth="1" min="6" max="6"/>
    <col width="50" customWidth="1" min="7" max="7"/>
  </cols>
  <sheetData>
    <row r="1">
      <c r="A1" s="1" t="inlineStr">
        <is>
          <t>Technetalks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Prazo vencido sem 'Feito' fica vermelho. Datas de divulgação são propostas até o aceite.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>
      <c r="A5" s="4" t="n">
        <v>1</v>
      </c>
      <c r="B5" s="4" t="inlineStr">
        <is>
          <t>Espaço</t>
        </is>
      </c>
      <c r="C5" s="4" t="inlineStr">
        <is>
          <t>Desenhar a planta em 3 versões (seca, com móveis, com móveis e pessoas) com os 20 lugares e disponibilizar</t>
        </is>
      </c>
      <c r="D5" s="5" t="inlineStr">
        <is>
          <t>Henrique</t>
        </is>
      </c>
      <c r="E5" s="6" t="n">
        <v>46285</v>
      </c>
      <c r="F5" s="5" t="inlineStr">
        <is>
          <t>A fazer</t>
        </is>
      </c>
      <c r="G5" s="4" t="inlineStr">
        <is>
          <t>Telas → sofá → 2 mesas com cadeiras → 2 mesas de plástico extras; quadro de vidro móvel; lanche e café embaixo da escada.</t>
        </is>
      </c>
    </row>
    <row r="6">
      <c r="A6" s="4" t="n">
        <v>2</v>
      </c>
      <c r="B6" s="4" t="inlineStr">
        <is>
          <t>Espaço</t>
        </is>
      </c>
      <c r="C6" s="4" t="inlineStr">
        <is>
          <t>Definir a tela principal: projetor e telão, ou TV</t>
        </is>
      </c>
      <c r="D6" s="5" t="inlineStr">
        <is>
          <t>Arthur + Henrique</t>
        </is>
      </c>
      <c r="E6" s="6" t="n">
        <v>46292</v>
      </c>
      <c r="F6" s="5" t="inlineStr">
        <is>
          <t>A fazer</t>
        </is>
      </c>
      <c r="G6" s="4" t="inlineStr">
        <is>
          <t>TV é o plano B. Sem projetor garantido até esta data, a TV vira a principal.</t>
        </is>
      </c>
    </row>
    <row r="7">
      <c r="A7" s="4" t="n">
        <v>3</v>
      </c>
      <c r="B7" s="4" t="inlineStr">
        <is>
          <t>Espaço</t>
        </is>
      </c>
      <c r="C7" s="4" t="inlineStr">
        <is>
          <t>Separar as mesas de plástico extras, se a planta precisar</t>
        </is>
      </c>
      <c r="D7" s="5" t="inlineStr">
        <is>
          <t>Henrique</t>
        </is>
      </c>
      <c r="E7" s="6" t="n">
        <v>46299</v>
      </c>
      <c r="F7" s="5" t="inlineStr">
        <is>
          <t>A fazer</t>
        </is>
      </c>
      <c r="G7" s="4" t="inlineStr"/>
    </row>
    <row r="8">
      <c r="A8" s="4" t="n">
        <v>4</v>
      </c>
      <c r="B8" s="4" t="inlineStr">
        <is>
          <t>Espaço</t>
        </is>
      </c>
      <c r="C8" s="4" t="inlineStr">
        <is>
          <t>Testar notebook → cabo/adaptador → tela com material real</t>
        </is>
      </c>
      <c r="D8" s="5" t="inlineStr">
        <is>
          <t>Arthur + Henrique</t>
        </is>
      </c>
      <c r="E8" s="6" t="n">
        <v>46299</v>
      </c>
      <c r="F8" s="5" t="inlineStr">
        <is>
          <t>A fazer</t>
        </is>
      </c>
      <c r="G8" s="4" t="inlineStr"/>
    </row>
    <row r="9">
      <c r="A9" s="4" t="n">
        <v>5</v>
      </c>
      <c r="B9" s="4" t="inlineStr">
        <is>
          <t>Espaço</t>
        </is>
      </c>
      <c r="C9" s="4" t="inlineStr">
        <is>
          <t>Posicionar 2 ou 3 ventiladores cruzados na sala e testar</t>
        </is>
      </c>
      <c r="D9" s="5" t="inlineStr">
        <is>
          <t>Henrique</t>
        </is>
      </c>
      <c r="E9" s="6" t="n">
        <v>46311</v>
      </c>
      <c r="F9" s="5" t="inlineStr">
        <is>
          <t>A fazer</t>
        </is>
      </c>
      <c r="G9" s="4" t="inlineStr"/>
    </row>
    <row r="10">
      <c r="A10" s="4" t="n">
        <v>6</v>
      </c>
      <c r="B10" s="4" t="inlineStr">
        <is>
          <t>Palestras</t>
        </is>
      </c>
      <c r="C10" s="4" t="inlineStr">
        <is>
          <t>Enviar o questionário aos dois palestrantes</t>
        </is>
      </c>
      <c r="D10" s="5" t="inlineStr">
        <is>
          <t>A definir</t>
        </is>
      </c>
      <c r="E10" s="6" t="n">
        <v>46281</v>
      </c>
      <c r="F10" s="5" t="inlineStr">
        <is>
          <t>A fazer</t>
        </is>
      </c>
      <c r="G10" s="4" t="inlineStr">
        <is>
          <t>docs/evento/QUESTIONARIO_PALESTRANTES.md</t>
        </is>
      </c>
    </row>
    <row r="11">
      <c r="A11" s="4" t="n">
        <v>7</v>
      </c>
      <c r="B11" s="4" t="inlineStr">
        <is>
          <t>Palestras</t>
        </is>
      </c>
      <c r="C11" s="4" t="inlineStr">
        <is>
          <t>Receber títulos e resumos das duas palestras</t>
        </is>
      </c>
      <c r="D11" s="5" t="inlineStr">
        <is>
          <t>A definir</t>
        </is>
      </c>
      <c r="E11" s="6" t="n">
        <v>46286</v>
      </c>
      <c r="F11" s="5" t="inlineStr">
        <is>
          <t>A fazer</t>
        </is>
      </c>
      <c r="G11" s="4" t="inlineStr">
        <is>
          <t>Base dos flyers 2 e 3.</t>
        </is>
      </c>
    </row>
    <row r="12">
      <c r="A12" s="4" t="n">
        <v>8</v>
      </c>
      <c r="B12" s="4" t="inlineStr">
        <is>
          <t>Palestras</t>
        </is>
      </c>
      <c r="C12" s="4" t="inlineStr">
        <is>
          <t>Receber slides e uma pergunta para o quiz de cada palestrante</t>
        </is>
      </c>
      <c r="D12" s="5" t="inlineStr">
        <is>
          <t>A definir</t>
        </is>
      </c>
      <c r="E12" s="6" t="n">
        <v>46309</v>
      </c>
      <c r="F12" s="5" t="inlineStr">
        <is>
          <t>A fazer</t>
        </is>
      </c>
      <c r="G12" s="4" t="inlineStr"/>
    </row>
    <row r="13">
      <c r="A13" s="4" t="n">
        <v>9</v>
      </c>
      <c r="B13" s="4" t="inlineStr">
        <is>
          <t>Palestras</t>
        </is>
      </c>
      <c r="C13" s="4" t="inlineStr">
        <is>
          <t>Ensaio com a tela escolhida</t>
        </is>
      </c>
      <c r="D13" s="5" t="inlineStr">
        <is>
          <t>Arthur + Henrique + palestrantes</t>
        </is>
      </c>
      <c r="E13" s="6" t="n">
        <v>46311</v>
      </c>
      <c r="F13" s="5" t="inlineStr">
        <is>
          <t>A fazer</t>
        </is>
      </c>
      <c r="G13" s="4" t="inlineStr"/>
    </row>
    <row r="14">
      <c r="A14" s="4" t="n">
        <v>10</v>
      </c>
      <c r="B14" s="4" t="inlineStr">
        <is>
          <t>Divulgação</t>
        </is>
      </c>
      <c r="C14" s="4" t="inlineStr">
        <is>
          <t>Definir como será a inscrição (link ou lista)</t>
        </is>
      </c>
      <c r="D14" s="5" t="inlineStr">
        <is>
          <t>A definir</t>
        </is>
      </c>
      <c r="E14" s="6" t="n">
        <v>46285</v>
      </c>
      <c r="F14" s="5" t="inlineStr">
        <is>
          <t>A fazer</t>
        </is>
      </c>
      <c r="G14" s="4" t="inlineStr"/>
    </row>
    <row r="15">
      <c r="A15" s="4" t="n">
        <v>11</v>
      </c>
      <c r="B15" s="4" t="inlineStr">
        <is>
          <t>Divulgação</t>
        </is>
      </c>
      <c r="C15" s="4" t="inlineStr">
        <is>
          <t>Fazer a arte dos flyers a partir dos textos</t>
        </is>
      </c>
      <c r="D15" s="5" t="inlineStr">
        <is>
          <t>A definir</t>
        </is>
      </c>
      <c r="E15" s="6" t="n">
        <v>46285</v>
      </c>
      <c r="F15" s="5" t="inlineStr">
        <is>
          <t>A fazer</t>
        </is>
      </c>
      <c r="G15" s="4" t="inlineStr">
        <is>
          <t>docs/evento/DIVULGACAO.md. Flyer 1 primeiro.</t>
        </is>
      </c>
    </row>
    <row r="16">
      <c r="A16" s="4" t="n">
        <v>12</v>
      </c>
      <c r="B16" s="4" t="inlineStr">
        <is>
          <t>Divulgação</t>
        </is>
      </c>
      <c r="C16" s="4" t="inlineStr">
        <is>
          <t>Adicionar as pessoas ao grupo do WhatsApp</t>
        </is>
      </c>
      <c r="D16" s="5" t="inlineStr">
        <is>
          <t>A definir</t>
        </is>
      </c>
      <c r="E16" s="6" t="n">
        <v>46286</v>
      </c>
      <c r="F16" s="5" t="inlineStr">
        <is>
          <t>A fazer</t>
        </is>
      </c>
      <c r="G16" s="4" t="inlineStr"/>
    </row>
    <row r="17">
      <c r="A17" s="4" t="n">
        <v>13</v>
      </c>
      <c r="B17" s="4" t="inlineStr">
        <is>
          <t>Divulgação</t>
        </is>
      </c>
      <c r="C17" s="4" t="inlineStr">
        <is>
          <t>Primeiro disparo: nome, foto e descrição do grupo + flyer 1</t>
        </is>
      </c>
      <c r="D17" s="5" t="inlineStr">
        <is>
          <t>A definir</t>
        </is>
      </c>
      <c r="E17" s="6" t="n">
        <v>46286</v>
      </c>
      <c r="F17" s="5" t="inlineStr">
        <is>
          <t>A fazer</t>
        </is>
      </c>
      <c r="G17" s="4" t="inlineStr">
        <is>
          <t>Abre as inscrições.</t>
        </is>
      </c>
    </row>
    <row r="18">
      <c r="A18" s="4" t="n">
        <v>14</v>
      </c>
      <c r="B18" s="4" t="inlineStr">
        <is>
          <t>Divulgação</t>
        </is>
      </c>
      <c r="C18" s="4" t="inlineStr">
        <is>
          <t>Flyer 2 — palestra do VIRUS</t>
        </is>
      </c>
      <c r="D18" s="5" t="inlineStr">
        <is>
          <t>A definir</t>
        </is>
      </c>
      <c r="E18" s="6" t="n">
        <v>46291</v>
      </c>
      <c r="F18" s="5" t="inlineStr">
        <is>
          <t>A fazer</t>
        </is>
      </c>
      <c r="G18" s="4" t="inlineStr"/>
    </row>
    <row r="19">
      <c r="A19" s="4" t="n">
        <v>15</v>
      </c>
      <c r="B19" s="4" t="inlineStr">
        <is>
          <t>Divulgação</t>
        </is>
      </c>
      <c r="C19" s="4" t="inlineStr">
        <is>
          <t>Flyer 3 — palestra do Coatio</t>
        </is>
      </c>
      <c r="D19" s="5" t="inlineStr">
        <is>
          <t>A definir</t>
        </is>
      </c>
      <c r="E19" s="6" t="n">
        <v>46296</v>
      </c>
      <c r="F19" s="5" t="inlineStr">
        <is>
          <t>A fazer</t>
        </is>
      </c>
      <c r="G19" s="4" t="inlineStr"/>
    </row>
    <row r="20">
      <c r="A20" s="4" t="n">
        <v>16</v>
      </c>
      <c r="B20" s="4" t="inlineStr">
        <is>
          <t>Divulgação</t>
        </is>
      </c>
      <c r="C20" s="4" t="inlineStr">
        <is>
          <t>Flyer 4 — vagas acabando</t>
        </is>
      </c>
      <c r="D20" s="5" t="inlineStr">
        <is>
          <t>A definir</t>
        </is>
      </c>
      <c r="E20" s="6" t="n">
        <v>46301</v>
      </c>
      <c r="F20" s="5" t="inlineStr">
        <is>
          <t>A fazer</t>
        </is>
      </c>
      <c r="G20" s="4" t="inlineStr"/>
    </row>
    <row r="21">
      <c r="A21" s="4" t="n">
        <v>17</v>
      </c>
      <c r="B21" s="4" t="inlineStr">
        <is>
          <t>Inscrições</t>
        </is>
      </c>
      <c r="C21" s="4" t="inlineStr">
        <is>
          <t>Avaliar pedidos de convidados de fora do grupo</t>
        </is>
      </c>
      <c r="D21" s="5" t="inlineStr">
        <is>
          <t>Arthur + Henrique</t>
        </is>
      </c>
      <c r="E21" s="6" t="n">
        <v>46305</v>
      </c>
      <c r="F21" s="5" t="inlineStr">
        <is>
          <t>A fazer</t>
        </is>
      </c>
      <c r="G21" s="4" t="inlineStr">
        <is>
          <t>A pessoa vem com alguém do grupo e também se inscreve.</t>
        </is>
      </c>
    </row>
    <row r="22">
      <c r="A22" s="4" t="n">
        <v>18</v>
      </c>
      <c r="B22" s="4" t="inlineStr">
        <is>
          <t>Inscrições</t>
        </is>
      </c>
      <c r="C22" s="4" t="inlineStr">
        <is>
          <t>Encerrar as inscrições e fechar o quantitativo confirmado</t>
        </is>
      </c>
      <c r="D22" s="5" t="inlineStr">
        <is>
          <t>Arthur + Henrique</t>
        </is>
      </c>
      <c r="E22" s="6" t="n">
        <v>46305</v>
      </c>
      <c r="F22" s="5" t="inlineStr">
        <is>
          <t>A fazer</t>
        </is>
      </c>
      <c r="G22" s="4" t="inlineStr">
        <is>
          <t>Anotar o número na aba Cardápio.</t>
        </is>
      </c>
    </row>
    <row r="23">
      <c r="A23" s="4" t="n">
        <v>19</v>
      </c>
      <c r="B23" s="4" t="inlineStr">
        <is>
          <t>Divulgação</t>
        </is>
      </c>
      <c r="C23" s="4" t="inlineStr">
        <is>
          <t>Enviar lembrete privado aos inscritos com o endereço</t>
        </is>
      </c>
      <c r="D23" s="5" t="inlineStr">
        <is>
          <t>A definir</t>
        </is>
      </c>
      <c r="E23" s="6" t="n">
        <v>46310</v>
      </c>
      <c r="F23" s="5" t="inlineStr">
        <is>
          <t>A fazer</t>
        </is>
      </c>
      <c r="G23" s="4" t="inlineStr"/>
    </row>
    <row r="24">
      <c r="A24" s="4" t="n">
        <v>20</v>
      </c>
      <c r="B24" s="4" t="inlineStr">
        <is>
          <t>Registro</t>
        </is>
      </c>
      <c r="C24" s="4" t="inlineStr">
        <is>
          <t>Convidar Guilherme Reis para fotos e vídeos, com o flyer</t>
        </is>
      </c>
      <c r="D24" s="5" t="inlineStr">
        <is>
          <t>Henrique</t>
        </is>
      </c>
      <c r="E24" s="6" t="n">
        <v>46286</v>
      </c>
      <c r="F24" s="5" t="inlineStr">
        <is>
          <t>A fazer</t>
        </is>
      </c>
      <c r="G24" s="4" t="inlineStr">
        <is>
          <t>A confirmar até ele aceitar.</t>
        </is>
      </c>
    </row>
    <row r="25">
      <c r="A25" s="4" t="n">
        <v>21</v>
      </c>
      <c r="B25" s="4" t="inlineStr">
        <is>
          <t>Compras</t>
        </is>
      </c>
      <c r="C25" s="4" t="inlineStr">
        <is>
          <t>Banner: arte e encomenda</t>
        </is>
      </c>
      <c r="D25" s="5" t="inlineStr">
        <is>
          <t>A definir</t>
        </is>
      </c>
      <c r="E25" s="6" t="n">
        <v>46299</v>
      </c>
      <c r="F25" s="5" t="inlineStr">
        <is>
          <t>A fazer</t>
        </is>
      </c>
      <c r="G25" s="4" t="inlineStr">
        <is>
          <t>Previsão R$ 60.</t>
        </is>
      </c>
    </row>
    <row r="26">
      <c r="A26" s="4" t="n">
        <v>22</v>
      </c>
      <c r="B26" s="4" t="inlineStr">
        <is>
          <t>Compras</t>
        </is>
      </c>
      <c r="C26" s="4" t="inlineStr">
        <is>
          <t>Brinde: comprar 2 canecas</t>
        </is>
      </c>
      <c r="D26" s="5" t="inlineStr">
        <is>
          <t>A definir</t>
        </is>
      </c>
      <c r="E26" s="6" t="n">
        <v>46299</v>
      </c>
      <c r="F26" s="5" t="inlineStr">
        <is>
          <t>A fazer</t>
        </is>
      </c>
      <c r="G26" s="4" t="inlineStr">
        <is>
          <t>Previsão R$ 70.</t>
        </is>
      </c>
    </row>
    <row r="27">
      <c r="A27" s="4" t="n">
        <v>23</v>
      </c>
      <c r="B27" s="4" t="inlineStr">
        <is>
          <t>Alimentação</t>
        </is>
      </c>
      <c r="C27" s="4" t="inlineStr">
        <is>
          <t>Confirmar quem prepara e serve o almoço no dia</t>
        </is>
      </c>
      <c r="D27" s="5" t="inlineStr">
        <is>
          <t>Henrique</t>
        </is>
      </c>
      <c r="E27" s="6" t="n">
        <v>46299</v>
      </c>
      <c r="F27" s="5" t="inlineStr">
        <is>
          <t>A fazer</t>
        </is>
      </c>
      <c r="G27" s="4" t="inlineStr"/>
    </row>
    <row r="28">
      <c r="A28" s="4" t="n">
        <v>24</v>
      </c>
      <c r="B28" s="4" t="inlineStr">
        <is>
          <t>Alimentação</t>
        </is>
      </c>
      <c r="C28" s="4" t="inlineStr">
        <is>
          <t>Definir as proporções do almoço para 11, 16 e 20 pessoas</t>
        </is>
      </c>
      <c r="D28" s="5" t="inlineStr">
        <is>
          <t>Henrique</t>
        </is>
      </c>
      <c r="E28" s="6" t="n">
        <v>46299</v>
      </c>
      <c r="F28" s="5" t="inlineStr">
        <is>
          <t>A fazer</t>
        </is>
      </c>
      <c r="G28" s="4" t="inlineStr">
        <is>
          <t>Aba Cardápio.</t>
        </is>
      </c>
    </row>
    <row r="29">
      <c r="A29" s="4" t="n">
        <v>25</v>
      </c>
      <c r="B29" s="4" t="inlineStr">
        <is>
          <t>Alimentação</t>
        </is>
      </c>
      <c r="C29" s="4" t="inlineStr">
        <is>
          <t>Levantar o pedido da padaria para 11, 16 e 20 pessoas</t>
        </is>
      </c>
      <c r="D29" s="5" t="inlineStr">
        <is>
          <t>Henrique</t>
        </is>
      </c>
      <c r="E29" s="6" t="n">
        <v>46299</v>
      </c>
      <c r="F29" s="5" t="inlineStr">
        <is>
          <t>A fazer</t>
        </is>
      </c>
      <c r="G29" s="4" t="inlineStr">
        <is>
          <t>Pãezinhos, assados e café.</t>
        </is>
      </c>
    </row>
    <row r="30">
      <c r="A30" s="4" t="n">
        <v>26</v>
      </c>
      <c r="B30" s="4" t="inlineStr">
        <is>
          <t>Alimentação</t>
        </is>
      </c>
      <c r="C30" s="4" t="inlineStr">
        <is>
          <t>Encomendar o lanche na padaria com o quantitativo confirmado</t>
        </is>
      </c>
      <c r="D30" s="5" t="inlineStr">
        <is>
          <t>Henrique</t>
        </is>
      </c>
      <c r="E30" s="6" t="n">
        <v>46307</v>
      </c>
      <c r="F30" s="5" t="inlineStr">
        <is>
          <t>A fazer</t>
        </is>
      </c>
      <c r="G30" s="4" t="inlineStr">
        <is>
          <t>Só depois de 10/10.</t>
        </is>
      </c>
    </row>
    <row r="31">
      <c r="A31" s="4" t="n">
        <v>27</v>
      </c>
      <c r="B31" s="4" t="inlineStr">
        <is>
          <t>Alimentação</t>
        </is>
      </c>
      <c r="C31" s="4" t="inlineStr">
        <is>
          <t>Comprar ingredientes do almoço, refrigerantes, sucos e café</t>
        </is>
      </c>
      <c r="D31" s="5" t="inlineStr">
        <is>
          <t>Henrique</t>
        </is>
      </c>
      <c r="E31" s="6" t="n">
        <v>46311</v>
      </c>
      <c r="F31" s="5" t="inlineStr">
        <is>
          <t>A fazer</t>
        </is>
      </c>
      <c r="G31" s="4" t="inlineStr">
        <is>
          <t>Só depois de 10/10.</t>
        </is>
      </c>
    </row>
    <row r="32">
      <c r="A32" s="4" t="n">
        <v>28</v>
      </c>
      <c r="B32" s="4" t="inlineStr">
        <is>
          <t>Dinâmicas</t>
        </is>
      </c>
      <c r="C32" s="4" t="inlineStr">
        <is>
          <t>Montar o quiz do QR code e o formulário de feedback</t>
        </is>
      </c>
      <c r="D32" s="5" t="inlineStr">
        <is>
          <t>A definir</t>
        </is>
      </c>
      <c r="E32" s="6" t="n">
        <v>46309</v>
      </c>
      <c r="F32" s="5" t="inlineStr">
        <is>
          <t>A fazer</t>
        </is>
      </c>
      <c r="G32" s="4" t="inlineStr">
        <is>
          <t>docs/evento/SORTEIO_E_FEEDBACK.md</t>
        </is>
      </c>
    </row>
    <row r="33">
      <c r="A33" s="4" t="n">
        <v>29</v>
      </c>
      <c r="B33" s="4" t="inlineStr">
        <is>
          <t>Dinâmicas</t>
        </is>
      </c>
      <c r="C33" s="4" t="inlineStr">
        <is>
          <t>Preparar a dinâmica de integração da recepção</t>
        </is>
      </c>
      <c r="D33" s="5" t="inlineStr">
        <is>
          <t>Arthur + Henrique</t>
        </is>
      </c>
      <c r="E33" s="6" t="n">
        <v>46309</v>
      </c>
      <c r="F33" s="5" t="inlineStr">
        <is>
          <t>A fazer</t>
        </is>
      </c>
      <c r="G33" s="4" t="inlineStr">
        <is>
          <t>Aproximar quem estiver isolado e formar grupos.</t>
        </is>
      </c>
    </row>
    <row r="34">
      <c r="A34" s="4" t="n">
        <v>30</v>
      </c>
      <c r="B34" s="4" t="inlineStr">
        <is>
          <t>Dinâmicas</t>
        </is>
      </c>
      <c r="C34" s="4" t="inlineStr">
        <is>
          <t>Preparar a pergunta de abertura da Mesa 360</t>
        </is>
      </c>
      <c r="D34" s="5" t="inlineStr">
        <is>
          <t>Arthur + Henrique</t>
        </is>
      </c>
      <c r="E34" s="6" t="n">
        <v>46309</v>
      </c>
      <c r="F34" s="5" t="inlineStr">
        <is>
          <t>A fazer</t>
        </is>
      </c>
      <c r="G34" s="4" t="inlineStr"/>
    </row>
    <row r="35">
      <c r="A35" s="4" t="n">
        <v>31</v>
      </c>
      <c r="B35" s="4" t="inlineStr">
        <is>
          <t>Pós-evento</t>
        </is>
      </c>
      <c r="C35" s="4" t="inlineStr">
        <is>
          <t>Agradecer no grupo e compartilhar fotos e materiais autorizados</t>
        </is>
      </c>
      <c r="D35" s="5" t="inlineStr">
        <is>
          <t>A definir</t>
        </is>
      </c>
      <c r="E35" s="6" t="n">
        <v>46315</v>
      </c>
      <c r="F35" s="5" t="inlineStr">
        <is>
          <t>A fazer</t>
        </is>
      </c>
      <c r="G35" s="4" t="inlineStr"/>
    </row>
    <row r="36">
      <c r="A36" s="4" t="n">
        <v>32</v>
      </c>
      <c r="B36" s="4" t="inlineStr">
        <is>
          <t>Pós-evento</t>
        </is>
      </c>
      <c r="C36" s="4" t="inlineStr">
        <is>
          <t>Fechar o balanço com comprovantes e acertar a divisão</t>
        </is>
      </c>
      <c r="D36" s="5" t="inlineStr">
        <is>
          <t>Arthur + Henrique</t>
        </is>
      </c>
      <c r="E36" s="6" t="n">
        <v>46319</v>
      </c>
      <c r="F36" s="5" t="inlineStr">
        <is>
          <t>A fazer</t>
        </is>
      </c>
      <c r="G36" s="4" t="inlineStr">
        <is>
          <t>Aba Orçamento.</t>
        </is>
      </c>
    </row>
  </sheetData>
  <autoFilter ref="A4:G36"/>
  <conditionalFormatting sqref="A5:G36">
    <cfRule type="expression" priority="1" dxfId="0">
      <formula>$F5="Feito"</formula>
    </cfRule>
    <cfRule type="expression" priority="2" dxfId="1">
      <formula>$F5="Não se aplica"</formula>
    </cfRule>
    <cfRule type="expression" priority="3" dxfId="2">
      <formula>AND($E5&lt;TODAY(),$F5&lt;&gt;"Feito",$F5&lt;&gt;"Não se aplica")</formula>
    </cfRule>
  </conditionalFormatting>
  <dataValidations count="1">
    <dataValidation sqref="F5:F36" showDropDown="0" showInputMessage="0" showErrorMessage="0" allowBlank="0" type="list">
      <formula1>"A fazer,Em andamento,Feito,Não se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0" customWidth="1" min="3" max="3"/>
    <col width="30" customWidth="1" min="4" max="4"/>
    <col width="22" customWidth="1" min="5" max="5"/>
    <col width="70" customWidth="1" min="6" max="6"/>
  </cols>
  <sheetData>
    <row r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7" customWidth="1" min="4" max="4"/>
    <col width="12" customWidth="1" min="5" max="5"/>
    <col width="45" customWidth="1" min="6" max="6"/>
  </cols>
  <sheetData>
    <row r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9" t="n">
        <v>60</v>
      </c>
      <c r="C5" s="10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9" t="n">
        <v>70</v>
      </c>
      <c r="C6" s="10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9" t="n">
        <v>250</v>
      </c>
      <c r="C7" s="10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9" t="n">
        <v>200</v>
      </c>
      <c r="C8" s="10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9" t="n">
        <v>70</v>
      </c>
      <c r="C9" s="10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9" t="n">
        <v>30</v>
      </c>
      <c r="C10" s="10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2">
        <f>SUM(B5:B10)</f>
        <v/>
      </c>
      <c r="C11" s="12">
        <f>SUM(C5:C10)</f>
        <v/>
      </c>
    </row>
    <row r="12">
      <c r="B12" s="9" t="n"/>
      <c r="C12" s="9" t="n"/>
    </row>
    <row r="13">
      <c r="A13" s="1" t="inlineStr">
        <is>
          <t>Balanço</t>
        </is>
      </c>
      <c r="B13" s="9" t="n"/>
      <c r="C13" s="9" t="n"/>
    </row>
    <row r="14">
      <c r="A14" t="inlineStr">
        <is>
          <t>Previsão da edição</t>
        </is>
      </c>
      <c r="B14" s="9" t="n">
        <v>500</v>
      </c>
      <c r="C14" s="9" t="n"/>
    </row>
    <row r="15">
      <c r="A15" t="inlineStr">
        <is>
          <t>Soma das categorias − previsão</t>
        </is>
      </c>
      <c r="B15" s="9">
        <f>B11-B14</f>
        <v/>
      </c>
      <c r="C15" s="9" t="n"/>
    </row>
    <row r="16">
      <c r="A16" t="inlineStr">
        <is>
          <t>Gasto real total</t>
        </is>
      </c>
      <c r="B16" s="9">
        <f>C11</f>
        <v/>
      </c>
      <c r="C16" s="9" t="n"/>
    </row>
    <row r="17">
      <c r="A17" t="inlineStr">
        <is>
          <t>Pago por Arthur</t>
        </is>
      </c>
      <c r="B17" s="9">
        <f>SUMIF(E5:E10,"Arthur",C5:C10)</f>
        <v/>
      </c>
      <c r="C17" s="9" t="n"/>
    </row>
    <row r="18">
      <c r="A18" t="inlineStr">
        <is>
          <t>Pago por Henrique</t>
        </is>
      </c>
      <c r="B18" s="9">
        <f>SUMIF(E5:E10,"Henrique",C5:C10)</f>
        <v/>
      </c>
      <c r="C18" s="9" t="n"/>
    </row>
    <row r="19">
      <c r="A19" t="inlineStr">
        <is>
          <t>Parte de cada um (metade)</t>
        </is>
      </c>
      <c r="B19" s="9">
        <f>C11/2</f>
        <v/>
      </c>
      <c r="C19" s="9" t="n"/>
    </row>
    <row r="20">
      <c r="A20" t="inlineStr">
        <is>
          <t>Acerto: positivo = Henrique repassa a Arthur</t>
        </is>
      </c>
      <c r="B20" s="9">
        <f>B17-B19</f>
        <v/>
      </c>
      <c r="C20" s="9" t="n"/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2026-09-14T16:38:03Z</dcterms:created>
  <dcterms:modified xsi:type="dcterms:W3CDTF">2026-09-14T16:38:03Z</dcterms:modified>
</cp:coreProperties>
</file>